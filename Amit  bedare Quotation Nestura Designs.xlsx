
<file path=[Content_Types].xml><?xml version="1.0" encoding="utf-8"?>
<Types xmlns="http://schemas.openxmlformats.org/package/2006/content-types">
  <Default ContentType="image/jpeg" Extension="jpg"/>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drawingml.chart+xml" PartName="/xl/charts/chart1.xml"/>
  <Override ContentType="application/vnd.openxmlformats-officedocument.drawingml.chart+xml" PartName="/xl/charts/chart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UMMARY &amp; COST DISTRIBUTION" sheetId="1" r:id="rId4"/>
    <sheet state="visible" name="DETAILED ESTIMATE" sheetId="2" r:id="rId5"/>
    <sheet state="visible" name="INTERIOR FEES" sheetId="3" r:id="rId6"/>
    <sheet state="visible" name="TERMS AND CONDITIONDS" sheetId="4" r:id="rId7"/>
  </sheets>
  <definedNames/>
  <calcPr/>
</workbook>
</file>

<file path=xl/sharedStrings.xml><?xml version="1.0" encoding="utf-8"?>
<sst xmlns="http://schemas.openxmlformats.org/spreadsheetml/2006/main" count="666" uniqueCount="400">
  <si>
    <r>
      <rPr>
        <rFont val="Source Sans Pro"/>
        <b/>
        <color rgb="FFFFFFF7"/>
        <sz val="24.0"/>
      </rPr>
      <t xml:space="preserve">NESTURA DESIGNS </t>
    </r>
    <r>
      <rPr>
        <rFont val="Source Sans Pro"/>
        <b val="0"/>
        <i/>
        <color rgb="FFFFFFF7"/>
        <sz val="24.0"/>
      </rPr>
      <t>(formerly SA INTERIOR SCAPES)</t>
    </r>
  </si>
  <si>
    <t>SUMMARY</t>
  </si>
  <si>
    <t>Client Name</t>
  </si>
  <si>
    <t>Pratichi behera</t>
  </si>
  <si>
    <t>Requirement</t>
  </si>
  <si>
    <t>2 BHK</t>
  </si>
  <si>
    <t>Property Type</t>
  </si>
  <si>
    <t>Flat</t>
  </si>
  <si>
    <t>Property Age</t>
  </si>
  <si>
    <t>New</t>
  </si>
  <si>
    <t>Location</t>
  </si>
  <si>
    <t>VTP Sierra, Sus</t>
  </si>
  <si>
    <t>Quotation by</t>
  </si>
  <si>
    <t>Aishwarya Khinvasara</t>
  </si>
  <si>
    <t>Date</t>
  </si>
  <si>
    <t>Project Cost Distrubution</t>
  </si>
  <si>
    <t>[A] Furniture Works Costs</t>
  </si>
  <si>
    <t>Area/Room</t>
  </si>
  <si>
    <t>Cost</t>
  </si>
  <si>
    <r>
      <rPr>
        <rFont val="Source Sans Pro"/>
        <i/>
        <color rgb="FFFF0000"/>
        <sz val="12.0"/>
      </rPr>
      <t xml:space="preserve">* </t>
    </r>
    <r>
      <rPr>
        <rFont val="Source Sans Pro"/>
        <i/>
        <color/>
        <sz val="12.0"/>
      </rPr>
      <t>Actual cost of all items above may change as per actuals</t>
    </r>
  </si>
  <si>
    <t>Furniture Works Total</t>
  </si>
  <si>
    <t>[B] Other Works Cost</t>
  </si>
  <si>
    <t>Item</t>
  </si>
  <si>
    <r>
      <rPr>
        <rFont val="Source Sans Pro"/>
        <i/>
        <color rgb="FFFF0000"/>
        <sz val="12.0"/>
      </rPr>
      <t xml:space="preserve">* </t>
    </r>
    <r>
      <rPr>
        <rFont val="Source Sans Pro"/>
        <i/>
        <color/>
        <sz val="12.0"/>
      </rPr>
      <t>Actual cost of all items above may change as per actuals</t>
    </r>
  </si>
  <si>
    <t>Other Works Total</t>
  </si>
  <si>
    <t>Total Project Cost</t>
  </si>
  <si>
    <t>[A] Furnitue Works Total</t>
  </si>
  <si>
    <t>[B] Other Works Total</t>
  </si>
  <si>
    <t>[C] Project Cost (A + B)</t>
  </si>
  <si>
    <t>[D] Contingencies (5% of Project Cost)</t>
  </si>
  <si>
    <t>[E] Total Project Cost (C + D)</t>
  </si>
  <si>
    <t>Interior Design Fees</t>
  </si>
  <si>
    <t>LUMPSUM</t>
  </si>
  <si>
    <t xml:space="preserve">[G] Interior Design Fees </t>
  </si>
  <si>
    <t>Final Project Cost</t>
  </si>
  <si>
    <t>TOTAL PROJECT COST + INTERIOR DESIGN FEES (E+G)</t>
  </si>
  <si>
    <r>
      <rPr>
        <rFont val="Source Sans Pro"/>
        <b/>
        <color rgb="FFFFFFF7"/>
        <sz val="30.0"/>
      </rPr>
      <t xml:space="preserve">NESTURA DESIGNS </t>
    </r>
    <r>
      <rPr>
        <rFont val="Source Sans Pro"/>
        <b val="0"/>
        <i/>
        <color rgb="FFFFFFF7"/>
        <sz val="30.0"/>
      </rPr>
      <t>(formerly SA INTERIOR SCAPES)</t>
    </r>
  </si>
  <si>
    <t xml:space="preserve">DETAILED ESTIMATE </t>
  </si>
  <si>
    <t>S.NO</t>
  </si>
  <si>
    <t>ITEM</t>
  </si>
  <si>
    <t>PROPOSED DETAILS/MATERIALS</t>
  </si>
  <si>
    <t>LENGTH</t>
  </si>
  <si>
    <t>BREADTH</t>
  </si>
  <si>
    <t>NO.S</t>
  </si>
  <si>
    <t>QUANTITY (APPROX)</t>
  </si>
  <si>
    <t xml:space="preserve">UNITS </t>
  </si>
  <si>
    <t xml:space="preserve">RATE </t>
  </si>
  <si>
    <t>GRAND TOTAL</t>
  </si>
  <si>
    <t>A</t>
  </si>
  <si>
    <t>ENTRANCE FOYER AREA</t>
  </si>
  <si>
    <t>SAFTEY DOOR</t>
  </si>
  <si>
    <t>a)Safety Door with Metal Grill and Godgrej
Lock</t>
  </si>
  <si>
    <t>sq.ft</t>
  </si>
  <si>
    <t>NA</t>
  </si>
  <si>
    <t>MAIN DOOR</t>
  </si>
  <si>
    <t>a) flush door saftey door.(Finish - Matt finish ) (Open style - Hinged/Swing/Sliding) handles and b)locks cost subject to selection  as per desgin</t>
  </si>
  <si>
    <t>ENTRANCE DESIGNER PANEL</t>
  </si>
  <si>
    <t xml:space="preserve">a) name plate with paneling of plywood </t>
  </si>
  <si>
    <t xml:space="preserve">SHOE RACK </t>
  </si>
  <si>
    <t>a) plywood shoe rack with laminate finish.</t>
  </si>
  <si>
    <t xml:space="preserve">NAME PLATE </t>
  </si>
  <si>
    <t>FOYER WALL WITH PANELING</t>
  </si>
  <si>
    <t xml:space="preserve"> paneling of plywood </t>
  </si>
  <si>
    <t>TOTAL OF ENTRANCE FOYER AREA</t>
  </si>
  <si>
    <t>B</t>
  </si>
  <si>
    <t>LIVING AREA</t>
  </si>
  <si>
    <t>TV UNIT DESIGNER PANELLING</t>
  </si>
  <si>
    <r>
      <rPr>
        <rFont val="Source Sans Pro"/>
        <color/>
        <sz val="30.0"/>
      </rPr>
      <t>Left Size Wall Panel with shelves a) Providing &amp; making of 2" thk paneling.Framework and 8mm thk . ply treated with</t>
    </r>
    <r>
      <rPr>
        <rFont val="Source Sans Pro"/>
        <b/>
        <color/>
        <sz val="30.0"/>
      </rPr>
      <t xml:space="preserve"> LAMINATE AND WALL PAPER</t>
    </r>
  </si>
  <si>
    <t>BOOK SHELF</t>
  </si>
  <si>
    <t>b) 18mm plywood With Dark Walnut laminate with 2 drawers</t>
  </si>
  <si>
    <t>TV UNIT LEDGE</t>
  </si>
  <si>
    <t>DINING TABLE</t>
  </si>
  <si>
    <t>a) Material - plywood</t>
  </si>
  <si>
    <t xml:space="preserve"> DESIGNER PANELLING</t>
  </si>
  <si>
    <t>Sofa Back Wall Panelling with Wall Light</t>
  </si>
  <si>
    <t>Sofa Back Wall - Moulding integrated in pop</t>
  </si>
  <si>
    <t>AC PANELLING</t>
  </si>
  <si>
    <t xml:space="preserve">a) Providing designer wall </t>
  </si>
  <si>
    <t>STORAGE ON DININNG WAL</t>
  </si>
  <si>
    <t>b) 18mm plywood With Dark Walnut laminate with 2 drawers and profile glass shutters</t>
  </si>
  <si>
    <t>MANDIR</t>
  </si>
  <si>
    <t>a) Providing and making a fluted glass mandir unit - Ihs with thin profile aluminum sections in black powder coated inside treated with 1 mm thk app shade of laminate with 4 nos of drawers &amp; 1 nos. of 12 mm thk clear white glass shelf  (basic cost of laminate upto Rs. 1500/- sheet)</t>
  </si>
  <si>
    <t>TOTAL OF LIVING AREA</t>
  </si>
  <si>
    <t>C</t>
  </si>
  <si>
    <t>BALCONY</t>
  </si>
  <si>
    <t>Designer dado tiles with fitting</t>
  </si>
  <si>
    <t>SEATING/SWING</t>
  </si>
  <si>
    <t xml:space="preserve">a)granite top                                                                                                                                                                                                                   b) 18mm plywood With Dark Walnut laminate </t>
  </si>
  <si>
    <t>JANITER STORAGE</t>
  </si>
  <si>
    <t xml:space="preserve">b) 18mm plywood With Dark Walnut laminate </t>
  </si>
  <si>
    <t>OUTDOOR CHAIR AND COFFEE TABLE SET</t>
  </si>
  <si>
    <t>2 Chairs and table</t>
  </si>
  <si>
    <t>TOTAL OF BALCONY AREA</t>
  </si>
  <si>
    <t>D</t>
  </si>
  <si>
    <t>KITCHEN</t>
  </si>
  <si>
    <t>KITCHEN TANDOMS</t>
  </si>
  <si>
    <t>a) Pre-laminated HDHMR/ BWP plywood withACRELIC  lamination  b)tandem hardware of EBCO BRAND 10TANDOMS</t>
  </si>
  <si>
    <t>KITCHEN SHUTTERS</t>
  </si>
  <si>
    <t>a) Pre-laminated HDHMR/ BWP plywood with lamination  b)tandem hardware of ebco brand</t>
  </si>
  <si>
    <t>Over Counter Around Chimney ( Profile Doors +
Acryilic laminate</t>
  </si>
  <si>
    <t>a) Providing and making a over head Storage made out of 19mm thk .Ply &amp; finished in 1 mm thk approved laminate from both sides with ss rack onths.(basic cost of laminate upto Rs. 1500sheet.)(With necessary hardware like hinges, handles,lock,etc) as pes design</t>
  </si>
  <si>
    <t xml:space="preserve"> LOFT STORAGE </t>
  </si>
  <si>
    <t>a) Providing and making a over head Storage made out of 19mm thk .Ply &amp; finished in 1 mm thk approved laminate (basic cost of laminate upto Rs. 1500sheet.)(With necessary hardware like hinges, handles,lock,etc) as pes design</t>
  </si>
  <si>
    <t>APPLIANCESTORAGE /ROLLING SHUTTER</t>
  </si>
  <si>
    <t>a) HDHMR / bwp with laminate .Providing and making a Full ht Storage made out of 19mm thk .Ply &amp; finished in 1 mm thk approved laminate from both sides.(basic cost of laminate upto Rs. 1500/-sheet.)(With necessary hardware like hinges handles.lock etc)</t>
  </si>
  <si>
    <t>BREAKFAST COUNTER</t>
  </si>
  <si>
    <t>KITCHEN PANTRY</t>
  </si>
  <si>
    <t>DRY BALCONY STORAGE</t>
  </si>
  <si>
    <t xml:space="preserve">a) WPC dry balcony storage </t>
  </si>
  <si>
    <t>SLIDING DOOR</t>
  </si>
  <si>
    <t>a) Providing &amp; making kitchen sliding door made of 19 mm thk ply treated with 4mm thk app, laminate with 6 mm clear fluted glass on sliding track channel (lamp co.) with necessary door lock, handle etc.</t>
  </si>
  <si>
    <t>PARTITION</t>
  </si>
  <si>
    <t xml:space="preserve">a) Providing &amp; making of kitchen 6" thk partition with 2" thk slit inside to hide out the door. made of necessary alum. Frame work and 9mm thk . ply finished in app shade of paint </t>
  </si>
  <si>
    <t>TOTAL OF KITCHEN AREA</t>
  </si>
  <si>
    <t>E</t>
  </si>
  <si>
    <t xml:space="preserve">FIRST GUEST BEDROOM </t>
  </si>
  <si>
    <t>BED</t>
  </si>
  <si>
    <t>"18mm plywood bed with hydraulic storage, elegantly finished in laminate.</t>
  </si>
  <si>
    <t xml:space="preserve"> BED(CUSIONED BEDBACK)          </t>
  </si>
  <si>
    <t xml:space="preserve">a) KDAP Headboard cusion backrest </t>
  </si>
  <si>
    <t xml:space="preserve"> BEDBACK WALL PANEL   </t>
  </si>
  <si>
    <t>Bed Back Wall Paneling</t>
  </si>
  <si>
    <t>WARDROBE</t>
  </si>
  <si>
    <t>a) Providing &amp; making of wardrobe with cane shutter in 19mm the .Ply 75 mm thk shutter frame to be treated with approved mm thk HDHMR finished in app shade of pu &amp; white laminate from inside. (basic cost of laminate upto 1500 - sheet). With all necessary hardware like lock.handle hinge.etc. &amp;(cost will vary as per design)</t>
  </si>
  <si>
    <t xml:space="preserve">SIDE TABLE (WITH DRAWERS)                                 </t>
  </si>
  <si>
    <t xml:space="preserve">a) Table of . plywood </t>
  </si>
  <si>
    <t>no.s</t>
  </si>
  <si>
    <t>STUDY TABLE WITH ONLY 2 DRAWERS</t>
  </si>
  <si>
    <t xml:space="preserve">a) Table with . plywood </t>
  </si>
  <si>
    <t xml:space="preserve">WALLPAPER/TEXTURE PAINT                                 </t>
  </si>
  <si>
    <t>Bought out item</t>
  </si>
  <si>
    <t>WINDOW SEATING</t>
  </si>
  <si>
    <t>T.V UNIT</t>
  </si>
  <si>
    <t xml:space="preserve">a) Providing and making a TV unit made out of 19mm thk .Ply treated with approved laminate from outside finished in approved shade of color lamination &amp; white laminate from inside                                                                                                                                                                                                                                                                                                    </t>
  </si>
  <si>
    <t xml:space="preserve">DRESSING TABLE  WITH MIROR STORAGE                           </t>
  </si>
  <si>
    <t>b) Exotic Teak Finish made of premium . plywood</t>
  </si>
  <si>
    <t xml:space="preserve">BEDROOM DOOR </t>
  </si>
  <si>
    <t>a) Providing &amp; making door made of 19 mm thk ply treated with 4mm thk app,  with necessary door lock, handle etc.</t>
  </si>
  <si>
    <t>DOOR FRAME</t>
  </si>
  <si>
    <t xml:space="preserve">a) Providing &amp; Making of bedroom door frame with 19mm thk .ply.          b) Finished with approved laminate (cost will vary as per design) basic cost of laminate upto Rs.2000/sheet.)                                                                                                                                                                    </t>
  </si>
  <si>
    <t xml:space="preserve">AC PANELLING                                    </t>
  </si>
  <si>
    <t>b) Providing &amp; making of 2" thk panelling- - made of necessary alum.Frame work and 9mm thk . ply treated with laser cutted fluting HDHMR panel as per design detail finished in app shade.</t>
  </si>
  <si>
    <t>TOTAL OF FIRST BEDROOM</t>
  </si>
  <si>
    <t>F</t>
  </si>
  <si>
    <t xml:space="preserve">SECOND KIDS BEDROOM </t>
  </si>
  <si>
    <t xml:space="preserve">WHITE BOARD                           </t>
  </si>
  <si>
    <t xml:space="preserve">Back painted glass </t>
  </si>
  <si>
    <t xml:space="preserve">FOLDABLE TABLE </t>
  </si>
  <si>
    <t>TOTAL OF SECOND BEDROOM</t>
  </si>
  <si>
    <t>G</t>
  </si>
  <si>
    <t>BATHROOM (COMMON ROOM)</t>
  </si>
  <si>
    <t xml:space="preserve">BATHROOM FLUSH DOOR </t>
  </si>
  <si>
    <t>a) Providing &amp; making bathroom door of 35mm th ..flush door finished with approved laminate from both sides with necessary hardware like hinges.handles, lock, etc) (basic cost of laminate upto Rs.2000/- sheet)</t>
  </si>
  <si>
    <t xml:space="preserve">BATHROOM FLUSH DOOR FRAME </t>
  </si>
  <si>
    <t xml:space="preserve">a) Providing &amp; Making of bathroom door frame with | 19mm thk .ply. Finished with approved laminate (cost will vary as per design basic cost of laminate upto Rs.2000 sheet.)2) </t>
  </si>
  <si>
    <t>BELOW BASIN COUNTER STORAGE</t>
  </si>
  <si>
    <t>Installing Below-basin counter storage crafted from durable 18mm WPC board on both sides."</t>
  </si>
  <si>
    <t>ABOVE WC COUNTER STORAGE</t>
  </si>
  <si>
    <t>TOTAL OF BATHROOM</t>
  </si>
  <si>
    <t>H</t>
  </si>
  <si>
    <t xml:space="preserve">THIRD MASTER BEDROOM </t>
  </si>
  <si>
    <t>STORAGE ABOVE STUDY</t>
  </si>
  <si>
    <t>a) Providing &amp; making of o.h storage - above desk in 19mm th .                                                                             Ply treated with approved laminate from outside finished in approved shade of color lamination &amp; white laminate from inside (basic cost of laminate upto Rs.2500 - sheet.)(basic cost of laminat upto 1500/-sheet). With all necessary hardware like lock, handle hinge.etc. (cost will vary as per design)</t>
  </si>
  <si>
    <t xml:space="preserve">TOTAL OF THIRD BEDROOM </t>
  </si>
  <si>
    <t>TOTAL OF FURNITURE WORK (All the above items from Sr. No. A to J)</t>
  </si>
  <si>
    <t>FALSE CEILING WORK</t>
  </si>
  <si>
    <t>FALSE CEILING (GYPSUM)</t>
  </si>
  <si>
    <t>FIRST BEDROOM</t>
  </si>
  <si>
    <t>KIDS BEDROOM</t>
  </si>
  <si>
    <t>MASTER BEDROOM</t>
  </si>
  <si>
    <t>LIVING ROOM</t>
  </si>
  <si>
    <t>DINING AREA</t>
  </si>
  <si>
    <t>LOBBY</t>
  </si>
  <si>
    <t>PASSAGE</t>
  </si>
  <si>
    <t>FALSE CEILING  (ACRELIC/PVC)</t>
  </si>
  <si>
    <t>ALL BATHROOMS</t>
  </si>
  <si>
    <t>WOODEN ELEMENTS</t>
  </si>
  <si>
    <t>BORDERS</t>
  </si>
  <si>
    <t>VERTICAL CEILING</t>
  </si>
  <si>
    <t>COVE CEILING</t>
  </si>
  <si>
    <t>GALA CUTTING</t>
  </si>
  <si>
    <t>LIGHT CUTTING</t>
  </si>
  <si>
    <t>TOTAL OF FALSE CEILING WORK</t>
  </si>
  <si>
    <t>PAINTING &amp; WALL FINISHES</t>
  </si>
  <si>
    <t>PA PLASTIC PAINT</t>
  </si>
  <si>
    <t>a) PA Plastic paint in three coat with necessary primer to surface ceiling including scraping cleaning and levelling the surface by approved quality shade as per wall finish schedule</t>
  </si>
  <si>
    <t>PA VELVET PAINT</t>
  </si>
  <si>
    <t>a) PA velvet paint in three coat with necessary primer to surface of wall including scraping cleaning and levelling the surface by approved quality shade as per wall finish schedule.</t>
  </si>
  <si>
    <t xml:space="preserve">MICRO TOPPING </t>
  </si>
  <si>
    <t>a) Micro topping</t>
  </si>
  <si>
    <t>a) Living area - curved partition</t>
  </si>
  <si>
    <t>WALL PAPER</t>
  </si>
  <si>
    <t xml:space="preserve">a) Decorative wall paper: </t>
  </si>
  <si>
    <t>b) Decorative wall paper dining area kitchen wall</t>
  </si>
  <si>
    <t xml:space="preserve">POLISH </t>
  </si>
  <si>
    <t>a) Monocoat polish -0" to 6"</t>
  </si>
  <si>
    <t xml:space="preserve">laminate POLISH </t>
  </si>
  <si>
    <t>a) Monocoat polish - laminate</t>
  </si>
  <si>
    <t>COATING</t>
  </si>
  <si>
    <t>a) DUCO - PU Coating</t>
  </si>
  <si>
    <t>LAMINATION</t>
  </si>
  <si>
    <t>a) COLOR LAMINATION</t>
  </si>
  <si>
    <t>POLISHING</t>
  </si>
  <si>
    <t>a) Polishing Groove, kanni</t>
  </si>
  <si>
    <t>INTERIOR DEEP CLEANING</t>
  </si>
  <si>
    <t>a) Housekeeping &amp; Full home Deep cleaning, futniture , tiles , toilets,walls</t>
  </si>
  <si>
    <t>lumpsum</t>
  </si>
  <si>
    <t>Note : Cost of painting &amp; polishing .kani grrove, pu. Color lamination work quan shall vary as per actual quantity.need to check measurement sheets with the contrctors after site being done</t>
  </si>
  <si>
    <t>TOTAL OF PAINTING</t>
  </si>
  <si>
    <t>ELECTRICAL WORK</t>
  </si>
  <si>
    <t>ELECTRIC POINT</t>
  </si>
  <si>
    <t>40ceiling light point , 20 sb shifting ,6 fan point, 14wall lights point with installation</t>
  </si>
  <si>
    <t>(Electrical job will be billed as per actuals)</t>
  </si>
  <si>
    <t>led lights</t>
  </si>
  <si>
    <t>rm</t>
  </si>
  <si>
    <t>PUMP POINT</t>
  </si>
  <si>
    <t>a) for pressure pump - EBARA/VALIANT 3M</t>
  </si>
  <si>
    <t>GEYSER POINT</t>
  </si>
  <si>
    <t>a) for geyser - EBARA/VALIANT 3M</t>
  </si>
  <si>
    <t>FILTRATION POINT</t>
  </si>
  <si>
    <t>a) for water filtration - if any</t>
  </si>
  <si>
    <t>APPLIANCE POINT</t>
  </si>
  <si>
    <t>removing point for appliances (Geysers, exaust, microwave, washing machine, oven ,aquguard refrigerator etc)</t>
  </si>
  <si>
    <t>DECORATIVE LIGHTS INSTALATION</t>
  </si>
  <si>
    <t>a) decorative lights (Bought subject to selection)</t>
  </si>
  <si>
    <t>lump sum</t>
  </si>
  <si>
    <t>b) decorative lights (installation)</t>
  </si>
  <si>
    <t>Cost of Electrical Fixture shall vary as per actual selected items</t>
  </si>
  <si>
    <t>TOTAL OF ELECTRICAL WORK ( WILL DIFFER AS PER ACTUALS)</t>
  </si>
  <si>
    <t>AIR- CONDITIONING WORK</t>
  </si>
  <si>
    <t>AIRCONDITIONING</t>
  </si>
  <si>
    <t>a) AIRCONDITIONING PIPE INSTALLATION(Copper wire )split ac</t>
  </si>
  <si>
    <t>AC PROVISION</t>
  </si>
  <si>
    <t>Cost of air-conditioning need to cross check with consultant .</t>
  </si>
  <si>
    <t>TOTAL OF AIR-CONDITIONING  WORK</t>
  </si>
  <si>
    <t>PLUMBING WORK</t>
  </si>
  <si>
    <t>PLUMBING</t>
  </si>
  <si>
    <t>a) PLUMBING WORK</t>
  </si>
  <si>
    <t>as per actuals</t>
  </si>
  <si>
    <t>All the work on laying pipes &amp; fixing of body kit was done on site.all the sanitary fixtures &amp; fittings already bought, fitting charges will be as per actauls</t>
  </si>
  <si>
    <t>TOTAL OF PLUMBING WORK ( WILL DIFFER AS PER ACTUALS)</t>
  </si>
  <si>
    <t>CIVIL WORK</t>
  </si>
  <si>
    <t>DEMOLITION</t>
  </si>
  <si>
    <t>BREAKING OF KITCHEN  WALL</t>
  </si>
  <si>
    <t>BREAKING OF EXISTING KITCHEN PLATFORM</t>
  </si>
  <si>
    <t>SQFT</t>
  </si>
  <si>
    <t>BREAKING OF EXISTING KITCHEN DADO</t>
  </si>
  <si>
    <t>BATHROOM</t>
  </si>
  <si>
    <t xml:space="preserve">BREAKING AND MAKING </t>
  </si>
  <si>
    <t>PROPOSING</t>
  </si>
  <si>
    <t>DADO TILES</t>
  </si>
  <si>
    <t>KITCHEN COUNTER TOP PLACING</t>
  </si>
  <si>
    <t>STONE COST 250</t>
  </si>
  <si>
    <t>KITCHEN DADO</t>
  </si>
  <si>
    <t>AVG COST OF TILE =80-90RS PER SQFT</t>
  </si>
  <si>
    <t>TOTAL OF CIVIL  WORK( WILL DIFFER AS PER ACTUALS)</t>
  </si>
  <si>
    <t>FABRICATION  WORK</t>
  </si>
  <si>
    <t>FABRICATION</t>
  </si>
  <si>
    <t>A)INVISIBLE GRILL APPROX COST</t>
  </si>
  <si>
    <t>B) INVERTOR BRACKET</t>
  </si>
  <si>
    <t>C) AC OUTDOOR UNIT BRACKET</t>
  </si>
  <si>
    <t>D)FABRICATED SHADE IN TERRACE</t>
  </si>
  <si>
    <t>E)WINDOW NET</t>
  </si>
  <si>
    <t>F)FRENCH DOOR IN BALCONY</t>
  </si>
  <si>
    <t>Cost of metal fabrication need to cross check with consultant client as most of the work we are assuming that its Charges will be as per actauls</t>
  </si>
  <si>
    <t>TOTAL OF METAL FABRICATION WORK</t>
  </si>
  <si>
    <t>FABRICS AND STICHING</t>
  </si>
  <si>
    <t>Main curtains for all area:</t>
  </si>
  <si>
    <t>Living area</t>
  </si>
  <si>
    <t>M</t>
  </si>
  <si>
    <t>study room</t>
  </si>
  <si>
    <t>second bedroom</t>
  </si>
  <si>
    <t>master bedroom</t>
  </si>
  <si>
    <t>Sheer curtains for all area:</t>
  </si>
  <si>
    <t xml:space="preserve"> Living area</t>
  </si>
  <si>
    <t>TRACKS AND STICHING</t>
  </si>
  <si>
    <t>Cost of ITEM need to cross check with consultant client as most of the work we are assuming that its done as its comes under ac work for catwalk - IF ANY</t>
  </si>
  <si>
    <t>TOTAL OF FABRICS AND STICHING</t>
  </si>
  <si>
    <t>BOUGHT OUT ITEMS (subject to selection)</t>
  </si>
  <si>
    <t>DINING BENCH</t>
  </si>
  <si>
    <t>LOUNGE SOFA</t>
  </si>
  <si>
    <t>ACCENT CHAIR</t>
  </si>
  <si>
    <t>CENTRE TABLE</t>
  </si>
  <si>
    <t>STUDY CHAIR</t>
  </si>
  <si>
    <t xml:space="preserve">MATRESS </t>
  </si>
  <si>
    <t>OUTDOOR SEATING/SWING</t>
  </si>
  <si>
    <t>PARENT SEATING CHAIRS</t>
  </si>
  <si>
    <t xml:space="preserve">ELECTRIC FIXTURES </t>
  </si>
  <si>
    <t xml:space="preserve">tube lights, spot lights, fans </t>
  </si>
  <si>
    <t>KITCHEN SINK AND FAUCET</t>
  </si>
  <si>
    <t>TOTAL OF BOUGHT OUT ITEMS</t>
  </si>
  <si>
    <t>MISCELLANEOUS ITEMS (subject to selection)</t>
  </si>
  <si>
    <t>FLOOR SHEET</t>
  </si>
  <si>
    <t xml:space="preserve">Floor protection sheet 3mm </t>
  </si>
  <si>
    <t>APPLIANCE</t>
  </si>
  <si>
    <t>APLLIANCES like otg microwave refrigerator</t>
  </si>
  <si>
    <t xml:space="preserve"> BATHROOM ACCESSORIES</t>
  </si>
  <si>
    <t>Bathroom cp. Fittings (toilet holder shaving mirror, towel rode. rob hook etc..)</t>
  </si>
  <si>
    <t>HARDWARES</t>
  </si>
  <si>
    <t>Hardware &amp; accessories</t>
  </si>
  <si>
    <t>SECURITY</t>
  </si>
  <si>
    <t>Quotation for cctv dvr system with labour</t>
  </si>
  <si>
    <t>INTERNET WIFI</t>
  </si>
  <si>
    <t>Quotation for wifi/switch system video call video screen</t>
  </si>
  <si>
    <t>SOUND SYSTEM</t>
  </si>
  <si>
    <t>Quotation for speaker &amp; system - in ceiling area - for livin, dining</t>
  </si>
  <si>
    <t>LANDSCAPE</t>
  </si>
  <si>
    <t>Planters &amp; plant</t>
  </si>
  <si>
    <t>STYLING</t>
  </si>
  <si>
    <t>Beddings and cushions</t>
  </si>
  <si>
    <t>PAINTINGS</t>
  </si>
  <si>
    <t>Art</t>
  </si>
  <si>
    <t>TOTAL OF MISCELLANEOUS ITEMS</t>
  </si>
  <si>
    <t>SUB TOTAL</t>
  </si>
  <si>
    <t>5% Contingencies</t>
  </si>
  <si>
    <t>TOTAL PROJECT COST (WITHOUT TAXES)</t>
  </si>
  <si>
    <r>
      <rPr>
        <rFont val="Source Sans Pro"/>
        <b/>
        <color rgb="FFFFFFF7"/>
        <sz val="30.0"/>
      </rPr>
      <t xml:space="preserve">NESTURA DESIGNS </t>
    </r>
    <r>
      <rPr>
        <rFont val="Source Sans Pro"/>
        <b val="0"/>
        <i/>
        <color rgb="FFFFFFF7"/>
        <sz val="30.0"/>
      </rPr>
      <t>(formerly SA INTERIOR SCAPES)</t>
    </r>
  </si>
  <si>
    <t>Interior Designer Fees</t>
  </si>
  <si>
    <r>
      <rPr>
        <rFont val="Source Sans Pro"/>
        <b/>
        <color rgb="FF2E505A"/>
        <sz val="30.0"/>
      </rPr>
      <t>Scope of Work:</t>
    </r>
    <r>
      <rPr>
        <rFont val="Source Sans Pro"/>
        <color/>
        <sz val="30.0"/>
      </rPr>
      <t xml:space="preserve">
To provide 2d, 3d  to client.
To provide working drawings .
To go for selection of materials(laminate veneer tiles décor all finishing materials) with client .
To do site visits and update client as and when required.
To Maintain Best Quality of work.
Giving Material orders, making list of it and its procurement.
Optimum material use and lesser wastage.
 Provide Labour Teams; get the work done as per the drawings.
Rates and bill checking of material and labour.
Interlinking and coordination between agencies for speedy work.
 To direct and maintain speed of work.
</t>
    </r>
  </si>
  <si>
    <t>Description</t>
  </si>
  <si>
    <t>Percentage</t>
  </si>
  <si>
    <t>TOTAL PROJECT COST</t>
  </si>
  <si>
    <t>DESIGNER FEES</t>
  </si>
  <si>
    <t>Designing Charges (2d drawings 3d drawings , working drawings , site visits, selection of each item needed.</t>
  </si>
  <si>
    <t>TOTAL AMOUNT  /-</t>
  </si>
  <si>
    <t xml:space="preserve"> </t>
  </si>
  <si>
    <t>Interior design fees to be paid in 4 phases as follows:</t>
  </si>
  <si>
    <t>Phase</t>
  </si>
  <si>
    <t>Rate(Rs)</t>
  </si>
  <si>
    <t>AMOUNT(Rs)</t>
  </si>
  <si>
    <t>Advance at signing designing fees</t>
  </si>
  <si>
    <t>Design phase 1 (AFTER SELECTION)</t>
  </si>
  <si>
    <t>Design phase 2 ( AFTER START OF PROJECT)</t>
  </si>
  <si>
    <t>Design phase 3 (AFTER HANDOVER)</t>
  </si>
  <si>
    <t xml:space="preserve">Designing Charges (2d drawings 3d drawings , working drawings , site visits, selection of each item needed(PUNE ). </t>
  </si>
  <si>
    <t>TOTAL AMOUNT ( LUMSUM)</t>
  </si>
  <si>
    <t>FINAL PROJECT COST (TOTAL PROJECT COST + INTERIOR DESIGN FEES)</t>
  </si>
  <si>
    <r>
      <rPr>
        <rFont val="Source Sans Pro"/>
        <b/>
        <color rgb="FFFFFFF7"/>
        <sz val="24.0"/>
      </rPr>
      <t xml:space="preserve">NESTURA DESIGNS </t>
    </r>
    <r>
      <rPr>
        <rFont val="Source Sans Pro"/>
        <b val="0"/>
        <i/>
        <color rgb="FFFFFFF7"/>
        <sz val="24.0"/>
      </rPr>
      <t>(formerly SA INTERIOR SCAPES)</t>
    </r>
  </si>
  <si>
    <t>MATERIAL SPECIFICATIONS AND PAYMENTS T&amp;C</t>
  </si>
  <si>
    <t>ALL FURNITURE WORK WILL BE DONE IN</t>
  </si>
  <si>
    <t>18mm, 12mm, 6mm ply 8x4 sheet. Sliding door will be in 25mm thick blockboard</t>
  </si>
  <si>
    <t>Laminate will be in 1 mm thick (inside-colour , outside-colour laminate)</t>
  </si>
  <si>
    <t>Hardware, Nails , screws, Adhesives</t>
  </si>
  <si>
    <t>BRANDS CONSIDERED</t>
  </si>
  <si>
    <t>Ply</t>
  </si>
  <si>
    <t>Basic furniture structure in high quality alternate grade plywood full face gurjan, ISO,ISI grade (Water resistance)</t>
  </si>
  <si>
    <t xml:space="preserve">Laminate </t>
  </si>
  <si>
    <t>Royal Touch, Real Touch, Merino equivalent brands</t>
  </si>
  <si>
    <t>Laminate Finishes</t>
  </si>
  <si>
    <t>Wood grain shine, wood grain solid, anti fingerprints, HD Gloss, Super Gloss, Textures, Scratch Resistant, PVC laminate etc</t>
  </si>
  <si>
    <t>Glass/Mirror</t>
  </si>
  <si>
    <t>Plain 6mm</t>
  </si>
  <si>
    <t>Sliding Track</t>
  </si>
  <si>
    <t>EBCO (soft closing) Premium</t>
  </si>
  <si>
    <t>Adhesives</t>
  </si>
  <si>
    <t>Falco fix ultramarine and Falco fix EBS</t>
  </si>
  <si>
    <t>Paint</t>
  </si>
  <si>
    <t>Asian, equivalent (Ceiling-  luxury emulsion)</t>
  </si>
  <si>
    <t>POP</t>
  </si>
  <si>
    <t>6x4 sheets, 12MM thickness, Brand Saint Gobain-Gyproc. Gypsum sheet with aluminium metal frame by Ultra</t>
  </si>
  <si>
    <t>Electrical Cables</t>
  </si>
  <si>
    <t>Polycab standard</t>
  </si>
  <si>
    <t>Light Panels</t>
  </si>
  <si>
    <t>Polycab 12w</t>
  </si>
  <si>
    <t>Kitchen Ply</t>
  </si>
  <si>
    <t>Waterproof, BWP</t>
  </si>
  <si>
    <t>Kitchen Hardware</t>
  </si>
  <si>
    <t>EBCO soft closing hinges, Hydraulic pump, Auto hinges</t>
  </si>
  <si>
    <t>Kitchen Finish</t>
  </si>
  <si>
    <t>Acrylic, back painted, water resistant</t>
  </si>
  <si>
    <t>Locks</t>
  </si>
  <si>
    <t>Godrej/Europa/Yale/Quba</t>
  </si>
  <si>
    <t>Curtains</t>
  </si>
  <si>
    <t>D'Decor or FnF</t>
  </si>
  <si>
    <t>PAYMENT TERMS FOR EXECUTION</t>
  </si>
  <si>
    <t>40% before the structural work start on site, after the finalization of 3D designs</t>
  </si>
  <si>
    <t>30% At the start of the carpentry stage</t>
  </si>
  <si>
    <t>20% At the start of wall painting</t>
  </si>
  <si>
    <t>10%At the start of furnishings( Before site handover (before Sofa And dinning installation)</t>
  </si>
  <si>
    <t>GENERAL NOTES (T&amp;C)</t>
  </si>
  <si>
    <t>The above mentioned unit rates are subject to the following conditions.</t>
  </si>
  <si>
    <t>The unit rate for any of the above items are considered as per standard of MRg material as per base rate .Any variation in the raw or design or finishing material rates.</t>
  </si>
  <si>
    <t>Marine ply used in kitchen &amp; toilet only. rest of all furnitures are to be made from BWR ply</t>
  </si>
  <si>
    <t xml:space="preserve">Every room door &amp; toilet doors has been considered with a pair of mortise hand set. Any variation in the hardware cost shall be settled as per actual purchase </t>
  </si>
  <si>
    <t>Every room Storages has been considered with a handle upto Rs. 200/- piece. Any cost shall be settled as per actual purchase cost.</t>
  </si>
  <si>
    <t>GENERAL NOTES</t>
  </si>
  <si>
    <t>The above unit rates are valid for 60 days from the date of the Bill of Quantities (BOQ). These rates are subject to changes based on inflation in material or labor costs.</t>
  </si>
  <si>
    <t>The quantities mentioned in the BOQ are for estimation purposes only. The BOQ is subject to deviation during execution due to changes in design and site conditions.</t>
  </si>
  <si>
    <t>The electrical costs mentioned are approximate and will be charged based on actual costs incurred during execution.</t>
  </si>
  <si>
    <t>BMC and society permissions required for the job will be obtained by the owner. The contractor will not be responsible for obtaining these permissions.</t>
  </si>
  <si>
    <t>Final billing will be based on actual quantities executed, and a measurement sheet will be provided, checked, and certified by both parties involved.</t>
  </si>
  <si>
    <t>The submitted rates are unit rates, and it is assumed that these rates are agreed upon by the contractor. The amount for each item of work is calculated as per the agreed quantities and rates. These rates will apply for settling bills for any additional work executed.</t>
  </si>
  <si>
    <t>The contractor will submit an estimate for any unforeseen costs incurred during the project. Such costs will be executed only after receiving written approval from the client. Additional work will be billed based on market rates and execution details.</t>
  </si>
  <si>
    <t>Water and electricity will be provided free of charge by the client.</t>
  </si>
  <si>
    <t>Plywood material uplifting will be charged as per actuals, based on the number of floors.</t>
  </si>
  <si>
    <t>Electrical fittings, such as hanging and decorative lights, fans, TV cables, Wi-Fi routers, CCTV, etc., are not included in the quotation.</t>
  </si>
  <si>
    <t>Electronics, such as air conditioners, chimneys, fridges, TVs, etc., must be provided by the client.</t>
  </si>
  <si>
    <t>There will be no refund on the initial payment if the client cancels the deal.</t>
  </si>
  <si>
    <t xml:space="preserve"> Please be advised that, while we implement floor protection measures (such as floor guards) during the course of the project, any incidental damage to marble, tiling, or other flooring surfaces will not be the responsibility or liability of IAD. Although we take every precaution to safeguard the flooring, the inherent risks of renovation and construction activities mean that some damage may still occur despite these protective measures.</t>
  </si>
  <si>
    <t>THANK YOU!</t>
  </si>
</sst>
</file>

<file path=xl/styles.xml><?xml version="1.0" encoding="utf-8"?>
<styleSheet xmlns="http://schemas.openxmlformats.org/spreadsheetml/2006/main" xmlns:x14ac="http://schemas.microsoft.com/office/spreadsheetml/2009/9/ac" xmlns:mc="http://schemas.openxmlformats.org/markup-compatibility/2006">
  <numFmts count="5">
    <numFmt numFmtId="164" formatCode="[$₹-4009]\ #,##0"/>
    <numFmt numFmtId="165" formatCode="dd/MM/yyyy"/>
    <numFmt numFmtId="166" formatCode="_ * #,##0_ ;_ * \-#,##0_ ;_ * &quot;-&quot;??_ ;_ @_ "/>
    <numFmt numFmtId="167" formatCode="[$₹-4009]\ #,##0.00"/>
    <numFmt numFmtId="168" formatCode="₹ #,##,##0.00"/>
  </numFmts>
  <fonts count="41">
    <font>
      <sz val="10.0"/>
      <color rgb="FF000000"/>
      <name val="Arial"/>
      <scheme val="minor"/>
    </font>
    <font>
      <b/>
      <sz val="24.0"/>
      <color rgb="FFFFFFF7"/>
      <name val="Source Sans Pro"/>
    </font>
    <font/>
    <font>
      <color/>
      <name val="Source Sans Pro"/>
    </font>
    <font>
      <b/>
      <sz val="32.0"/>
      <color rgb="FF2E505A"/>
      <name val="Source Sans Pro"/>
    </font>
    <font>
      <b/>
      <sz val="20.0"/>
      <color rgb="FF173D48"/>
      <name val="Source Sans Pro"/>
    </font>
    <font>
      <sz val="18.0"/>
      <color rgb="FF173D48"/>
      <name val="Source Sans Pro"/>
    </font>
    <font>
      <sz val="20.0"/>
      <color/>
      <name val="Source Sans Pro"/>
    </font>
    <font>
      <b/>
      <sz val="23.0"/>
      <color rgb="FFFFFFF6"/>
      <name val="Source Sans Pro"/>
    </font>
    <font>
      <b/>
      <sz val="20.0"/>
      <color rgb="FFFFFFF6"/>
      <name val="Source Sans Pro"/>
    </font>
    <font>
      <sz val="20.0"/>
      <color rgb="FF2E505A"/>
      <name val="Source Sans Pro"/>
    </font>
    <font>
      <i/>
      <sz val="12.0"/>
      <color/>
      <name val="Source Sans Pro"/>
    </font>
    <font>
      <b/>
      <sz val="24.0"/>
      <color rgb="FF38761D"/>
      <name val="Source Sans Pro"/>
    </font>
    <font>
      <b/>
      <sz val="24.0"/>
      <color rgb="FF45646D"/>
      <name val="Source Sans Pro"/>
    </font>
    <font>
      <sz val="20.0"/>
      <color rgb="FF173D48"/>
      <name val="Source Sans Pro"/>
    </font>
    <font>
      <b/>
      <sz val="22.0"/>
      <color rgb="FF2E505A"/>
      <name val="Source Sans Pro"/>
    </font>
    <font>
      <sz val="22.0"/>
      <color rgb="FF45646D"/>
      <name val="Source Sans Pro"/>
    </font>
    <font>
      <b/>
      <sz val="24.0"/>
      <color rgb="FFFFFFF6"/>
      <name val="Source Sans Pro"/>
    </font>
    <font>
      <b/>
      <sz val="35.0"/>
      <color rgb="FF38761D"/>
      <name val="Source Sans Pro"/>
    </font>
    <font>
      <b/>
      <sz val="30.0"/>
      <color rgb="FFFFFFF7"/>
      <name val="Source Sans Pro"/>
    </font>
    <font>
      <b/>
      <sz val="30.0"/>
      <color rgb="FF2E505A"/>
      <name val="Source Sans Pro"/>
    </font>
    <font>
      <b/>
      <i/>
      <sz val="30.0"/>
      <color rgb="FFFFFFF6"/>
      <name val="Source Sans Pro"/>
    </font>
    <font>
      <b/>
      <sz val="30.0"/>
      <color rgb="FFFFFFF6"/>
      <name val="Source Sans Pro"/>
    </font>
    <font>
      <sz val="30.0"/>
      <color/>
      <name val="Source Sans Pro"/>
    </font>
    <font>
      <b/>
      <sz val="30.0"/>
      <color rgb="FF173D48"/>
      <name val="Source Sans Pro"/>
    </font>
    <font>
      <b/>
      <sz val="30.0"/>
      <color rgb="FFFF0000"/>
      <name val="Source Sans Pro"/>
    </font>
    <font>
      <color/>
      <name val="Arial"/>
    </font>
    <font>
      <b/>
      <i/>
      <sz val="30.0"/>
      <color rgb="FF2E505A"/>
      <name val="Source Sans Pro"/>
    </font>
    <font>
      <sz val="30.0"/>
      <color rgb="FF202124"/>
      <name val="Source Sans Pro"/>
    </font>
    <font>
      <i/>
      <sz val="30.0"/>
      <color rgb="FFC00000"/>
      <name val="Source Sans Pro"/>
    </font>
    <font>
      <i/>
      <sz val="30.0"/>
      <color/>
      <name val="Source Sans Pro"/>
    </font>
    <font>
      <b/>
      <sz val="30.0"/>
      <color rgb="FFC00000"/>
      <name val="Source Sans Pro"/>
    </font>
    <font>
      <b/>
      <i/>
      <sz val="30.0"/>
      <color rgb="FF38761D"/>
      <name val="Source Sans Pro"/>
    </font>
    <font>
      <sz val="29.0"/>
      <color/>
      <name val="Arial"/>
    </font>
    <font>
      <sz val="30.0"/>
      <color/>
      <name val="Arial"/>
    </font>
    <font>
      <b/>
      <i/>
      <sz val="30.0"/>
      <color rgb="FF173D48"/>
      <name val="Source Sans Pro"/>
    </font>
    <font>
      <b/>
      <sz val="24.0"/>
      <color rgb="FF2E505A"/>
      <name val="Source Sans Pro"/>
    </font>
    <font>
      <sz val="24.0"/>
      <color/>
      <name val="Arial"/>
    </font>
    <font>
      <b/>
      <i/>
      <sz val="24.0"/>
      <color rgb="FFFFFFF6"/>
      <name val="Source Sans Pro"/>
    </font>
    <font>
      <sz val="24.0"/>
      <color/>
      <name val="Source Sans Pro"/>
    </font>
    <font>
      <b/>
      <i/>
      <sz val="24.0"/>
      <color rgb="FFC00000"/>
      <name val="Source Sans Pro"/>
    </font>
  </fonts>
  <fills count="17">
    <fill>
      <patternFill patternType="none"/>
    </fill>
    <fill>
      <patternFill patternType="lightGray"/>
    </fill>
    <fill>
      <patternFill patternType="solid">
        <fgColor rgb="FF173D48"/>
        <bgColor rgb="FF173D48"/>
      </patternFill>
    </fill>
    <fill>
      <patternFill patternType="solid">
        <fgColor rgb="FFE5DBD9"/>
        <bgColor rgb="FFE5DBD9"/>
      </patternFill>
    </fill>
    <fill>
      <patternFill patternType="solid">
        <fgColor rgb="FFF7F4F4"/>
        <bgColor rgb="FFF7F4F4"/>
      </patternFill>
    </fill>
    <fill>
      <patternFill patternType="solid">
        <fgColor rgb="FFFFFFF7"/>
        <bgColor rgb="FFFFFFF7"/>
      </patternFill>
    </fill>
    <fill>
      <patternFill patternType="solid">
        <fgColor rgb="FF2E505A"/>
        <bgColor rgb="FF2E505A"/>
      </patternFill>
    </fill>
    <fill>
      <patternFill patternType="solid">
        <fgColor rgb="FF5D777F"/>
        <bgColor rgb="FF5D777F"/>
      </patternFill>
    </fill>
    <fill>
      <patternFill patternType="solid">
        <fgColor rgb="FF748B91"/>
        <bgColor rgb="FF748B91"/>
      </patternFill>
    </fill>
    <fill>
      <patternFill patternType="solid">
        <fgColor rgb="FFD5F3FF"/>
        <bgColor rgb="FFD5F3FF"/>
      </patternFill>
    </fill>
    <fill>
      <patternFill patternType="solid">
        <fgColor rgb="FFF9E6AC"/>
        <bgColor rgb="FFF9E6AC"/>
      </patternFill>
    </fill>
    <fill>
      <patternFill patternType="solid">
        <fgColor rgb="FFF6DA83"/>
        <bgColor rgb="FFF6DA83"/>
      </patternFill>
    </fill>
    <fill>
      <patternFill patternType="solid">
        <fgColor rgb="FFFFFF00"/>
        <bgColor rgb="FFFFFF00"/>
      </patternFill>
    </fill>
    <fill>
      <patternFill patternType="solid">
        <fgColor rgb="FFD9D2E9"/>
        <bgColor rgb="FFD9D2E9"/>
      </patternFill>
    </fill>
    <fill>
      <patternFill patternType="solid">
        <fgColor rgb="FF45646D"/>
        <bgColor rgb="FF45646D"/>
      </patternFill>
    </fill>
    <fill>
      <patternFill patternType="solid">
        <fgColor rgb="FF6AA84F"/>
        <bgColor rgb="FF6AA84F"/>
      </patternFill>
    </fill>
    <fill>
      <patternFill patternType="solid">
        <fgColor rgb="FFE06666"/>
        <bgColor rgb="FFE06666"/>
      </patternFill>
    </fill>
  </fills>
  <borders count="52">
    <border/>
    <border>
      <left style="thin">
        <color rgb="FFB7B7B7"/>
      </left>
      <top style="thin">
        <color rgb="FFB7B7B7"/>
      </top>
    </border>
    <border>
      <right style="thin">
        <color rgb="FFB7B7B7"/>
      </right>
      <top style="thin">
        <color rgb="FFB7B7B7"/>
      </top>
    </border>
    <border>
      <left style="thin">
        <color rgb="FFB7B7B7"/>
      </left>
    </border>
    <border>
      <right style="thin">
        <color rgb="FFB7B7B7"/>
      </right>
    </border>
    <border>
      <left style="thin">
        <color rgb="FFB7B7B7"/>
      </left>
      <bottom style="thin">
        <color rgb="FFB7B7B7"/>
      </bottom>
    </border>
    <border>
      <right style="thin">
        <color rgb="FFB7B7B7"/>
      </right>
      <bottom style="thin">
        <color rgb="FFB7B7B7"/>
      </bottom>
    </border>
    <border>
      <left style="thin">
        <color rgb="FFB7B7B7"/>
      </left>
      <top style="thin">
        <color rgb="FFB7B7B7"/>
      </top>
      <bottom style="thin">
        <color rgb="FFA2B1B6"/>
      </bottom>
    </border>
    <border>
      <right style="thin">
        <color rgb="FFB7B7B7"/>
      </right>
      <top style="thin">
        <color rgb="FFB7B7B7"/>
      </top>
      <bottom style="thin">
        <color rgb="FFA2B1B6"/>
      </bottom>
    </border>
    <border>
      <left style="thin">
        <color rgb="FFB7B7B7"/>
      </left>
      <top style="thin">
        <color rgb="FFA2B1B6"/>
      </top>
      <bottom style="thin">
        <color rgb="FFA2B1B6"/>
      </bottom>
    </border>
    <border>
      <right style="thin">
        <color rgb="FFB7B7B7"/>
      </right>
      <top style="thin">
        <color rgb="FFA2B1B6"/>
      </top>
      <bottom style="thin">
        <color rgb="FFA2B1B6"/>
      </bottom>
    </border>
    <border>
      <left style="thin">
        <color rgb="FFA2B1B6"/>
      </left>
      <right style="thin">
        <color rgb="FFA2B1B6"/>
      </right>
      <top style="thin">
        <color rgb="FFA2B1B6"/>
      </top>
      <bottom style="thin">
        <color rgb="FFA2B1B6"/>
      </bottom>
    </border>
    <border>
      <left style="thin">
        <color rgb="FFB7B7B7"/>
      </left>
      <top style="thin">
        <color rgb="FFA2B1B6"/>
      </top>
    </border>
    <border>
      <right style="thin">
        <color rgb="FFB7B7B7"/>
      </right>
      <top style="thin">
        <color rgb="FFA2B1B6"/>
      </top>
    </border>
    <border>
      <left style="thin">
        <color rgb="FFB7B7B7"/>
      </left>
      <bottom style="thin">
        <color rgb="FFA2B1B6"/>
      </bottom>
    </border>
    <border>
      <right style="thin">
        <color rgb="FFB7B7B7"/>
      </right>
      <bottom style="thin">
        <color rgb="FFA2B1B6"/>
      </bottom>
    </border>
    <border>
      <left/>
      <right style="thin">
        <color rgb="FFB7B7B7"/>
      </right>
      <top style="thin">
        <color rgb="FFA2B1B6"/>
      </top>
      <bottom style="thin">
        <color rgb="FFA2B1B6"/>
      </bottom>
    </border>
    <border>
      <left style="thin">
        <color rgb="FFB7B7B7"/>
      </left>
      <right style="thin">
        <color rgb="FFB9C5C8"/>
      </right>
      <bottom style="thin">
        <color rgb="FFB9C5C8"/>
      </bottom>
    </border>
    <border>
      <left style="thin">
        <color rgb="FFB7B7B7"/>
      </left>
      <right style="thin">
        <color rgb="FFB9C5C8"/>
      </right>
    </border>
    <border>
      <left/>
      <right style="thin">
        <color rgb="FFB7B7B7"/>
      </right>
      <top style="thin">
        <color rgb="FFA2B1B6"/>
      </top>
    </border>
    <border>
      <left style="thin">
        <color rgb="FFB7B7B7"/>
      </left>
      <right style="thin">
        <color rgb="FFB9C5C8"/>
      </right>
      <top style="thin">
        <color rgb="FF666666"/>
      </top>
      <bottom style="thin">
        <color rgb="FFB9C5C8"/>
      </bottom>
    </border>
    <border>
      <left/>
      <right style="thin">
        <color rgb="FFB7B7B7"/>
      </right>
      <top style="thin">
        <color rgb="FF666666"/>
      </top>
      <bottom style="thin">
        <color rgb="FFA2B1B6"/>
      </bottom>
    </border>
    <border>
      <left style="thin">
        <color rgb="FFB7B7B7"/>
      </left>
      <right style="thin">
        <color rgb="FFB9C5C8"/>
      </right>
      <bottom style="thin">
        <color rgb="FF666666"/>
      </bottom>
    </border>
    <border>
      <left/>
      <right style="thin">
        <color rgb="FFB7B7B7"/>
      </right>
      <top style="thin">
        <color rgb="FFA2B1B6"/>
      </top>
      <bottom style="thin">
        <color rgb="FF666666"/>
      </bottom>
    </border>
    <border>
      <left/>
      <right style="thin">
        <color rgb="FFB7B7B7"/>
      </right>
      <bottom style="thin">
        <color rgb="FFA2B1B6"/>
      </bottom>
    </border>
    <border>
      <left style="thin">
        <color rgb="FFB9C5C8"/>
      </left>
      <right style="thin">
        <color rgb="FFB7B7B7"/>
      </right>
      <bottom style="thin">
        <color rgb="FFB9C5C8"/>
      </bottom>
    </border>
    <border>
      <left style="thin">
        <color rgb="FFB7B7B7"/>
      </left>
      <top style="thin">
        <color rgb="FFA2B1B6"/>
      </top>
      <bottom style="thin">
        <color rgb="FFB7B7B7"/>
      </bottom>
    </border>
    <border>
      <left/>
      <right style="thin">
        <color rgb="FFB7B7B7"/>
      </right>
      <top style="thin">
        <color rgb="FFA2B1B6"/>
      </top>
      <bottom style="thin">
        <color rgb="FFB7B7B7"/>
      </bottom>
    </border>
    <border>
      <left style="thin">
        <color rgb="FFA2B1B6"/>
      </left>
      <top style="thin">
        <color rgb="FFA2B1B6"/>
      </top>
      <bottom style="thin">
        <color rgb="FFA2B1B6"/>
      </bottom>
    </border>
    <border>
      <top style="thin">
        <color rgb="FFA2B1B6"/>
      </top>
      <bottom style="thin">
        <color rgb="FFA2B1B6"/>
      </bottom>
    </border>
    <border>
      <right style="thin">
        <color rgb="FFA2B1B6"/>
      </right>
      <top style="thin">
        <color rgb="FFA2B1B6"/>
      </top>
      <bottom style="thin">
        <color rgb="FFA2B1B6"/>
      </bottom>
    </border>
    <border>
      <left/>
      <right style="thin">
        <color rgb="FFA2B1B6"/>
      </right>
      <top style="thin">
        <color rgb="FFA2B1B6"/>
      </top>
      <bottom style="thin">
        <color rgb="FFA2B1B6"/>
      </bottom>
    </border>
    <border>
      <left style="thin">
        <color rgb="FFA2B1B6"/>
      </left>
      <right/>
      <top style="thin">
        <color rgb="FFA2B1B6"/>
      </top>
      <bottom style="thin">
        <color rgb="FFA2B1B6"/>
      </bottom>
    </border>
    <border>
      <left/>
      <right/>
      <top style="thin">
        <color rgb="FFA2B1B6"/>
      </top>
      <bottom style="thin">
        <color rgb="FFA2B1B6"/>
      </bottom>
    </border>
    <border>
      <left style="thin">
        <color rgb="FFA2B1B6"/>
      </left>
      <top style="thin">
        <color rgb="FFA2B1B6"/>
      </top>
    </border>
    <border>
      <top style="thin">
        <color rgb="FFA2B1B6"/>
      </top>
    </border>
    <border>
      <left style="thin">
        <color rgb="FFA2B1B6"/>
      </left>
      <bottom style="thin">
        <color rgb="FFA2B1B6"/>
      </bottom>
    </border>
    <border>
      <bottom style="thin">
        <color rgb="FFA2B1B6"/>
      </bottom>
    </border>
    <border>
      <right style="thin">
        <color rgb="FF000000"/>
      </right>
      <top style="thin">
        <color rgb="FFA2B1B6"/>
      </top>
    </border>
    <border>
      <left style="thin">
        <color rgb="FFB9C5C8"/>
      </left>
      <right style="thin">
        <color rgb="FFB9C5C8"/>
      </right>
      <top style="thin">
        <color rgb="FFB9C5C8"/>
      </top>
      <bottom style="thin">
        <color rgb="FFB9C5C8"/>
      </bottom>
    </border>
    <border>
      <left style="thin">
        <color rgb="FFB9C5C8"/>
      </left>
      <top style="thin">
        <color rgb="FFB9C5C8"/>
      </top>
      <bottom style="thin">
        <color rgb="FFB9C5C8"/>
      </bottom>
    </border>
    <border>
      <top style="thin">
        <color rgb="FFB9C5C8"/>
      </top>
      <bottom style="thin">
        <color rgb="FFB9C5C8"/>
      </bottom>
    </border>
    <border>
      <right style="thin">
        <color rgb="FFB9C5C8"/>
      </right>
      <top style="thin">
        <color rgb="FFB9C5C8"/>
      </top>
      <bottom style="thin">
        <color rgb="FFB9C5C8"/>
      </bottom>
    </border>
    <border>
      <left/>
      <right style="thin">
        <color rgb="FF748B91"/>
      </right>
      <top/>
      <bottom style="thin">
        <color rgb="FF748B91"/>
      </bottom>
    </border>
    <border>
      <left style="thin">
        <color rgb="FFA2B1B6"/>
      </left>
      <top style="thin">
        <color rgb="FFB9C5C8"/>
      </top>
    </border>
    <border>
      <top style="thin">
        <color rgb="FFB9C5C8"/>
      </top>
    </border>
    <border>
      <right style="thin">
        <color rgb="FFA2B1B6"/>
      </right>
      <top style="thin">
        <color rgb="FFB9C5C8"/>
      </top>
    </border>
    <border>
      <right style="thin">
        <color rgb="FFA2B1B6"/>
      </right>
      <bottom style="thin">
        <color rgb="FFA2B1B6"/>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160">
    <xf borderId="0" fillId="0" fontId="0" numFmtId="0" xfId="0" applyAlignment="1" applyFont="1">
      <alignment readingOrder="0" shrinkToFit="0" vertical="bottom" wrapText="0"/>
    </xf>
    <xf borderId="1" fillId="0" fontId="1" numFmtId="0" xfId="0" applyAlignment="1" applyBorder="1" applyFont="1">
      <alignment horizontal="center" shrinkToFit="0" vertical="center" wrapText="1"/>
    </xf>
    <xf borderId="2" fillId="0" fontId="2" numFmtId="0" xfId="0" applyBorder="1" applyFont="1"/>
    <xf borderId="0" fillId="0" fontId="3" numFmtId="0" xfId="0" applyFont="1"/>
    <xf borderId="3" fillId="0" fontId="2" numFmtId="0" xfId="0" applyBorder="1" applyFont="1"/>
    <xf borderId="4" fillId="0" fontId="2" numFmtId="0" xfId="0" applyBorder="1" applyFont="1"/>
    <xf borderId="5" fillId="0" fontId="2" numFmtId="0" xfId="0" applyBorder="1" applyFont="1"/>
    <xf borderId="6" fillId="0" fontId="2" numFmtId="0" xfId="0" applyBorder="1" applyFont="1"/>
    <xf borderId="7" fillId="2" fontId="1" numFmtId="0" xfId="0" applyAlignment="1" applyBorder="1" applyFill="1" applyFont="1">
      <alignment horizontal="center" shrinkToFit="0" vertical="center" wrapText="1"/>
    </xf>
    <xf borderId="8" fillId="0" fontId="2" numFmtId="0" xfId="0" applyBorder="1" applyFont="1"/>
    <xf borderId="9" fillId="3" fontId="4" numFmtId="0" xfId="0" applyAlignment="1" applyBorder="1" applyFill="1" applyFont="1">
      <alignment horizontal="center" shrinkToFit="0" vertical="center" wrapText="1"/>
    </xf>
    <xf borderId="10" fillId="0" fontId="2" numFmtId="0" xfId="0" applyBorder="1" applyFont="1"/>
    <xf borderId="9" fillId="4" fontId="5" numFmtId="0" xfId="0" applyAlignment="1" applyBorder="1" applyFill="1" applyFont="1">
      <alignment shrinkToFit="0" vertical="center" wrapText="1"/>
    </xf>
    <xf borderId="11" fillId="4" fontId="6" numFmtId="164" xfId="0" applyAlignment="1" applyBorder="1" applyFont="1" applyNumberFormat="1">
      <alignment shrinkToFit="0" wrapText="1"/>
    </xf>
    <xf borderId="0" fillId="0" fontId="3" numFmtId="165" xfId="0" applyFont="1" applyNumberFormat="1"/>
    <xf borderId="11" fillId="4" fontId="6" numFmtId="14" xfId="0" applyAlignment="1" applyBorder="1" applyFont="1" applyNumberFormat="1">
      <alignment horizontal="left" shrinkToFit="0" wrapText="1"/>
    </xf>
    <xf borderId="9" fillId="3" fontId="3" numFmtId="0" xfId="0" applyAlignment="1" applyBorder="1" applyFont="1">
      <alignment vertical="center"/>
    </xf>
    <xf borderId="10" fillId="3" fontId="3" numFmtId="164" xfId="0" applyAlignment="1" applyBorder="1" applyFont="1" applyNumberFormat="1">
      <alignment vertical="center"/>
    </xf>
    <xf borderId="12" fillId="5" fontId="7" numFmtId="0" xfId="0" applyAlignment="1" applyBorder="1" applyFill="1" applyFont="1">
      <alignment vertical="center"/>
    </xf>
    <xf borderId="13" fillId="0" fontId="2" numFmtId="0" xfId="0" applyBorder="1" applyFont="1"/>
    <xf borderId="14" fillId="0" fontId="2" numFmtId="0" xfId="0" applyBorder="1" applyFont="1"/>
    <xf borderId="15" fillId="0" fontId="2" numFmtId="0" xfId="0" applyBorder="1" applyFont="1"/>
    <xf borderId="9" fillId="6" fontId="8" numFmtId="0" xfId="0" applyAlignment="1" applyBorder="1" applyFill="1" applyFont="1">
      <alignment horizontal="left" shrinkToFit="0" vertical="center" wrapText="1"/>
    </xf>
    <xf borderId="9" fillId="5" fontId="7" numFmtId="0" xfId="0" applyAlignment="1" applyBorder="1" applyFont="1">
      <alignment vertical="center"/>
    </xf>
    <xf borderId="9" fillId="7" fontId="9" numFmtId="166" xfId="0" applyAlignment="1" applyBorder="1" applyFill="1" applyFont="1" applyNumberFormat="1">
      <alignment vertical="center"/>
    </xf>
    <xf borderId="3" fillId="0" fontId="3" numFmtId="0" xfId="0" applyBorder="1" applyFont="1"/>
    <xf borderId="3" fillId="8" fontId="9" numFmtId="0" xfId="0" applyAlignment="1" applyBorder="1" applyFill="1" applyFont="1">
      <alignment horizontal="center" shrinkToFit="0" vertical="center" wrapText="1"/>
    </xf>
    <xf borderId="4" fillId="8" fontId="9" numFmtId="164" xfId="0" applyAlignment="1" applyBorder="1" applyFont="1" applyNumberFormat="1">
      <alignment horizontal="center" shrinkToFit="0" vertical="center" wrapText="1"/>
    </xf>
    <xf borderId="9" fillId="9" fontId="10" numFmtId="0" xfId="0" applyAlignment="1" applyBorder="1" applyFill="1" applyFont="1">
      <alignment vertical="center"/>
    </xf>
    <xf borderId="16" fillId="10" fontId="10" numFmtId="164" xfId="0" applyAlignment="1" applyBorder="1" applyFill="1" applyFont="1" applyNumberFormat="1">
      <alignment horizontal="right" vertical="center"/>
    </xf>
    <xf borderId="9" fillId="9" fontId="10" numFmtId="0" xfId="0" applyBorder="1" applyFont="1"/>
    <xf borderId="16" fillId="10" fontId="10" numFmtId="164" xfId="0" applyAlignment="1" applyBorder="1" applyFont="1" applyNumberFormat="1">
      <alignment horizontal="right"/>
    </xf>
    <xf borderId="9" fillId="5" fontId="11" numFmtId="0" xfId="0" applyAlignment="1" applyBorder="1" applyFont="1">
      <alignment vertical="center"/>
    </xf>
    <xf borderId="16" fillId="11" fontId="12" numFmtId="164" xfId="0" applyAlignment="1" applyBorder="1" applyFill="1" applyFont="1" applyNumberFormat="1">
      <alignment horizontal="right" vertical="center"/>
    </xf>
    <xf borderId="16" fillId="11" fontId="13" numFmtId="164" xfId="0" applyAlignment="1" applyBorder="1" applyFont="1" applyNumberFormat="1">
      <alignment horizontal="right" vertical="center"/>
    </xf>
    <xf borderId="17" fillId="5" fontId="14" numFmtId="167" xfId="0" applyAlignment="1" applyBorder="1" applyFont="1" applyNumberFormat="1">
      <alignment horizontal="left" shrinkToFit="0" vertical="center" wrapText="1"/>
    </xf>
    <xf borderId="18" fillId="5" fontId="14" numFmtId="167" xfId="0" applyAlignment="1" applyBorder="1" applyFont="1" applyNumberFormat="1">
      <alignment horizontal="left" shrinkToFit="0" vertical="center" wrapText="1"/>
    </xf>
    <xf borderId="19" fillId="10" fontId="10" numFmtId="164" xfId="0" applyAlignment="1" applyBorder="1" applyFont="1" applyNumberFormat="1">
      <alignment horizontal="right" vertical="center"/>
    </xf>
    <xf borderId="20" fillId="5" fontId="14" numFmtId="167" xfId="0" applyAlignment="1" applyBorder="1" applyFont="1" applyNumberFormat="1">
      <alignment horizontal="left" shrinkToFit="0" vertical="center" wrapText="1"/>
    </xf>
    <xf borderId="21" fillId="10" fontId="15" numFmtId="164" xfId="0" applyAlignment="1" applyBorder="1" applyFont="1" applyNumberFormat="1">
      <alignment horizontal="right" vertical="center"/>
    </xf>
    <xf borderId="22" fillId="5" fontId="14" numFmtId="167" xfId="0" applyAlignment="1" applyBorder="1" applyFont="1" applyNumberFormat="1">
      <alignment horizontal="left" shrinkToFit="0" vertical="center" wrapText="1"/>
    </xf>
    <xf borderId="23" fillId="10" fontId="10" numFmtId="164" xfId="0" applyAlignment="1" applyBorder="1" applyFont="1" applyNumberFormat="1">
      <alignment horizontal="right" vertical="center"/>
    </xf>
    <xf borderId="24" fillId="11" fontId="12" numFmtId="164" xfId="0" applyAlignment="1" applyBorder="1" applyFont="1" applyNumberFormat="1">
      <alignment horizontal="right" vertical="center"/>
    </xf>
    <xf borderId="25" fillId="10" fontId="16" numFmtId="9" xfId="0" applyAlignment="1" applyBorder="1" applyFont="1" applyNumberFormat="1">
      <alignment horizontal="right" shrinkToFit="0" vertical="center" wrapText="1"/>
    </xf>
    <xf borderId="19" fillId="11" fontId="12" numFmtId="164" xfId="0" applyAlignment="1" applyBorder="1" applyFont="1" applyNumberFormat="1">
      <alignment horizontal="right" vertical="center"/>
    </xf>
    <xf borderId="26" fillId="7" fontId="17" numFmtId="166" xfId="0" applyAlignment="1" applyBorder="1" applyFont="1" applyNumberFormat="1">
      <alignment vertical="center"/>
    </xf>
    <xf borderId="27" fillId="12" fontId="18" numFmtId="164" xfId="0" applyAlignment="1" applyBorder="1" applyFill="1" applyFont="1" applyNumberFormat="1">
      <alignment horizontal="right" vertical="center"/>
    </xf>
    <xf borderId="0" fillId="0" fontId="3" numFmtId="0" xfId="0" applyAlignment="1" applyFont="1">
      <alignment vertical="center"/>
    </xf>
    <xf borderId="0" fillId="0" fontId="3" numFmtId="164" xfId="0" applyFont="1" applyNumberFormat="1"/>
    <xf borderId="28" fillId="2" fontId="19" numFmtId="0" xfId="0" applyAlignment="1" applyBorder="1" applyFont="1">
      <alignment horizontal="center" shrinkToFit="0" vertical="center" wrapText="1"/>
    </xf>
    <xf borderId="29" fillId="0" fontId="2" numFmtId="0" xfId="0" applyBorder="1" applyFont="1"/>
    <xf borderId="28" fillId="3" fontId="20" numFmtId="0" xfId="0" applyAlignment="1" applyBorder="1" applyFont="1">
      <alignment horizontal="center" shrinkToFit="0" vertical="center" wrapText="1"/>
    </xf>
    <xf borderId="30" fillId="0" fontId="2" numFmtId="0" xfId="0" applyBorder="1" applyFont="1"/>
    <xf borderId="11" fillId="6" fontId="21" numFmtId="0" xfId="0" applyAlignment="1" applyBorder="1" applyFont="1">
      <alignment horizontal="center" shrinkToFit="0" vertical="center" wrapText="1"/>
    </xf>
    <xf borderId="11" fillId="6" fontId="21" numFmtId="168" xfId="0" applyAlignment="1" applyBorder="1" applyFont="1" applyNumberFormat="1">
      <alignment horizontal="center" shrinkToFit="0" vertical="center" wrapText="1"/>
    </xf>
    <xf borderId="11" fillId="7" fontId="22" numFmtId="0" xfId="0" applyAlignment="1" applyBorder="1" applyFont="1">
      <alignment horizontal="center" shrinkToFit="0" vertical="center" wrapText="1"/>
    </xf>
    <xf borderId="28" fillId="7" fontId="22" numFmtId="0" xfId="0" applyAlignment="1" applyBorder="1" applyFont="1">
      <alignment horizontal="right" shrinkToFit="0" vertical="center" wrapText="1"/>
    </xf>
    <xf borderId="28" fillId="5" fontId="23" numFmtId="0" xfId="0" applyAlignment="1" applyBorder="1" applyFont="1">
      <alignment horizontal="center" vertical="center"/>
    </xf>
    <xf borderId="11" fillId="5" fontId="23" numFmtId="0" xfId="0" applyAlignment="1" applyBorder="1" applyFont="1">
      <alignment horizontal="center" shrinkToFit="0" vertical="center" wrapText="1"/>
    </xf>
    <xf borderId="11" fillId="5" fontId="23" numFmtId="0" xfId="0" applyAlignment="1" applyBorder="1" applyFont="1">
      <alignment shrinkToFit="0" vertical="center" wrapText="1"/>
    </xf>
    <xf borderId="11" fillId="5" fontId="24" numFmtId="0" xfId="0" applyAlignment="1" applyBorder="1" applyFont="1">
      <alignment horizontal="center" shrinkToFit="0" vertical="center" wrapText="1"/>
    </xf>
    <xf borderId="11" fillId="5" fontId="24" numFmtId="168" xfId="0" applyAlignment="1" applyBorder="1" applyFont="1" applyNumberFormat="1">
      <alignment horizontal="center" shrinkToFit="0" vertical="center" wrapText="1"/>
    </xf>
    <xf borderId="11" fillId="5" fontId="25" numFmtId="168" xfId="0" applyAlignment="1" applyBorder="1" applyFont="1" applyNumberFormat="1">
      <alignment horizontal="center" shrinkToFit="0" vertical="center" wrapText="1"/>
    </xf>
    <xf borderId="28" fillId="5" fontId="26" numFmtId="0" xfId="0" applyBorder="1" applyFont="1"/>
    <xf borderId="28" fillId="13" fontId="27" numFmtId="0" xfId="0" applyAlignment="1" applyBorder="1" applyFill="1" applyFont="1">
      <alignment horizontal="right" vertical="center"/>
    </xf>
    <xf borderId="31" fillId="10" fontId="27" numFmtId="168" xfId="0" applyAlignment="1" applyBorder="1" applyFont="1" applyNumberFormat="1">
      <alignment horizontal="right" vertical="center"/>
    </xf>
    <xf borderId="28" fillId="5" fontId="23" numFmtId="0" xfId="0" applyAlignment="1" applyBorder="1" applyFont="1">
      <alignment horizontal="center" shrinkToFit="0" vertical="center" wrapText="1"/>
    </xf>
    <xf borderId="28" fillId="7" fontId="22" numFmtId="0" xfId="0" applyAlignment="1" applyBorder="1" applyFont="1">
      <alignment horizontal="left" shrinkToFit="0" vertical="center" wrapText="1"/>
    </xf>
    <xf borderId="11" fillId="5" fontId="28" numFmtId="0" xfId="0" applyAlignment="1" applyBorder="1" applyFont="1">
      <alignment shrinkToFit="0" vertical="center" wrapText="1"/>
    </xf>
    <xf borderId="11" fillId="5" fontId="23" numFmtId="0" xfId="0" applyAlignment="1" applyBorder="1" applyFont="1">
      <alignment vertical="center"/>
    </xf>
    <xf borderId="28" fillId="7" fontId="22" numFmtId="0" xfId="0" applyAlignment="1" applyBorder="1" applyFont="1">
      <alignment shrinkToFit="0" vertical="center" wrapText="1"/>
    </xf>
    <xf borderId="28" fillId="9" fontId="27" numFmtId="0" xfId="0" applyAlignment="1" applyBorder="1" applyFont="1">
      <alignment horizontal="right" vertical="center"/>
    </xf>
    <xf borderId="11" fillId="5" fontId="23" numFmtId="0" xfId="0" applyAlignment="1" applyBorder="1" applyFont="1">
      <alignment horizontal="center" vertical="center"/>
    </xf>
    <xf borderId="11" fillId="5" fontId="23" numFmtId="168" xfId="0" applyAlignment="1" applyBorder="1" applyFont="1" applyNumberFormat="1">
      <alignment vertical="center"/>
    </xf>
    <xf borderId="28" fillId="5" fontId="29" numFmtId="0" xfId="0" applyAlignment="1" applyBorder="1" applyFont="1">
      <alignment horizontal="center" shrinkToFit="0" vertical="center" wrapText="1"/>
    </xf>
    <xf borderId="11" fillId="5" fontId="29" numFmtId="0" xfId="0" applyAlignment="1" applyBorder="1" applyFont="1">
      <alignment shrinkToFit="0" vertical="center" wrapText="1"/>
    </xf>
    <xf borderId="11" fillId="5" fontId="30" numFmtId="0" xfId="0" applyAlignment="1" applyBorder="1" applyFont="1">
      <alignment shrinkToFit="0" vertical="center" wrapText="1"/>
    </xf>
    <xf borderId="11" fillId="5" fontId="24" numFmtId="168" xfId="0" applyAlignment="1" applyBorder="1" applyFont="1" applyNumberFormat="1">
      <alignment horizontal="right" shrinkToFit="0" vertical="center" wrapText="1"/>
    </xf>
    <xf borderId="11" fillId="5" fontId="31" numFmtId="168" xfId="0" applyAlignment="1" applyBorder="1" applyFont="1" applyNumberFormat="1">
      <alignment horizontal="center" shrinkToFit="0" vertical="center" wrapText="1"/>
    </xf>
    <xf borderId="11" fillId="7" fontId="22" numFmtId="0" xfId="0" applyAlignment="1" applyBorder="1" applyFont="1">
      <alignment horizontal="center" shrinkToFit="0" wrapText="1"/>
    </xf>
    <xf borderId="28" fillId="7" fontId="22" numFmtId="0" xfId="0" applyAlignment="1" applyBorder="1" applyFont="1">
      <alignment shrinkToFit="0" wrapText="1"/>
    </xf>
    <xf borderId="28" fillId="5" fontId="23" numFmtId="0" xfId="0" applyAlignment="1" applyBorder="1" applyFont="1">
      <alignment horizontal="center"/>
    </xf>
    <xf borderId="11" fillId="5" fontId="23" numFmtId="0" xfId="0" applyAlignment="1" applyBorder="1" applyFont="1">
      <alignment horizontal="center" shrinkToFit="0" wrapText="1"/>
    </xf>
    <xf borderId="11" fillId="5" fontId="23" numFmtId="0" xfId="0" applyAlignment="1" applyBorder="1" applyFont="1">
      <alignment shrinkToFit="0" wrapText="1"/>
    </xf>
    <xf borderId="11" fillId="5" fontId="23" numFmtId="0" xfId="0" applyBorder="1" applyFont="1"/>
    <xf borderId="11" fillId="5" fontId="23" numFmtId="168" xfId="0" applyBorder="1" applyFont="1" applyNumberFormat="1"/>
    <xf borderId="11" fillId="5" fontId="23" numFmtId="0" xfId="0" applyAlignment="1" applyBorder="1" applyFont="1">
      <alignment horizontal="center"/>
    </xf>
    <xf borderId="11" fillId="5" fontId="24" numFmtId="0" xfId="0" applyAlignment="1" applyBorder="1" applyFont="1">
      <alignment horizontal="center" shrinkToFit="0" wrapText="1"/>
    </xf>
    <xf borderId="11" fillId="5" fontId="24" numFmtId="168" xfId="0" applyAlignment="1" applyBorder="1" applyFont="1" applyNumberFormat="1">
      <alignment horizontal="center" shrinkToFit="0" wrapText="1"/>
    </xf>
    <xf borderId="11" fillId="5" fontId="29" numFmtId="0" xfId="0" applyAlignment="1" applyBorder="1" applyFont="1">
      <alignment shrinkToFit="0" wrapText="1"/>
    </xf>
    <xf borderId="28" fillId="9" fontId="27" numFmtId="0" xfId="0" applyAlignment="1" applyBorder="1" applyFont="1">
      <alignment horizontal="right"/>
    </xf>
    <xf borderId="31" fillId="10" fontId="27" numFmtId="168" xfId="0" applyAlignment="1" applyBorder="1" applyFont="1" applyNumberFormat="1">
      <alignment horizontal="right"/>
    </xf>
    <xf borderId="11" fillId="5" fontId="20" numFmtId="0" xfId="0" applyAlignment="1" applyBorder="1" applyFont="1">
      <alignment shrinkToFit="0" vertical="center" wrapText="1"/>
    </xf>
    <xf borderId="32" fillId="5" fontId="23" numFmtId="0" xfId="0" applyAlignment="1" applyBorder="1" applyFont="1">
      <alignment horizontal="center" vertical="center"/>
    </xf>
    <xf borderId="33" fillId="5" fontId="23" numFmtId="0" xfId="0" applyAlignment="1" applyBorder="1" applyFont="1">
      <alignment vertical="center"/>
    </xf>
    <xf borderId="33" fillId="5" fontId="23" numFmtId="168" xfId="0" applyAlignment="1" applyBorder="1" applyFont="1" applyNumberFormat="1">
      <alignment vertical="center"/>
    </xf>
    <xf borderId="31" fillId="5" fontId="23" numFmtId="168" xfId="0" applyAlignment="1" applyBorder="1" applyFont="1" applyNumberFormat="1">
      <alignment vertical="center"/>
    </xf>
    <xf borderId="32" fillId="5" fontId="23" numFmtId="0" xfId="0" applyAlignment="1" applyBorder="1" applyFont="1">
      <alignment vertical="center"/>
    </xf>
    <xf borderId="11" fillId="12" fontId="23" numFmtId="0" xfId="0" applyAlignment="1" applyBorder="1" applyFont="1">
      <alignment horizontal="center" shrinkToFit="0" vertical="center" wrapText="1"/>
    </xf>
    <xf borderId="11" fillId="12" fontId="23" numFmtId="0" xfId="0" applyAlignment="1" applyBorder="1" applyFont="1">
      <alignment shrinkToFit="0" vertical="center" wrapText="1"/>
    </xf>
    <xf borderId="11" fillId="12" fontId="23" numFmtId="0" xfId="0" applyAlignment="1" applyBorder="1" applyFont="1">
      <alignment vertical="center"/>
    </xf>
    <xf borderId="11" fillId="12" fontId="24" numFmtId="0" xfId="0" applyAlignment="1" applyBorder="1" applyFont="1">
      <alignment horizontal="center" shrinkToFit="0" vertical="center" wrapText="1"/>
    </xf>
    <xf borderId="11" fillId="12" fontId="23" numFmtId="168" xfId="0" applyAlignment="1" applyBorder="1" applyFont="1" applyNumberFormat="1">
      <alignment vertical="center"/>
    </xf>
    <xf borderId="28" fillId="7" fontId="22" numFmtId="166" xfId="0" applyAlignment="1" applyBorder="1" applyFont="1" applyNumberFormat="1">
      <alignment horizontal="right" vertical="center"/>
    </xf>
    <xf borderId="31" fillId="11" fontId="27" numFmtId="168" xfId="0" applyAlignment="1" applyBorder="1" applyFont="1" applyNumberFormat="1">
      <alignment horizontal="right" vertical="center"/>
    </xf>
    <xf borderId="28" fillId="5" fontId="23" numFmtId="166" xfId="0" applyAlignment="1" applyBorder="1" applyFont="1" applyNumberFormat="1">
      <alignment horizontal="center" vertical="center"/>
    </xf>
    <xf borderId="31" fillId="7" fontId="21" numFmtId="168" xfId="0" applyAlignment="1" applyBorder="1" applyFont="1" applyNumberFormat="1">
      <alignment horizontal="right" vertical="center"/>
    </xf>
    <xf borderId="28" fillId="7" fontId="21" numFmtId="166" xfId="0" applyAlignment="1" applyBorder="1" applyFont="1" applyNumberFormat="1">
      <alignment horizontal="right" vertical="center"/>
    </xf>
    <xf borderId="31" fillId="11" fontId="32" numFmtId="168" xfId="0" applyAlignment="1" applyBorder="1" applyFont="1" applyNumberFormat="1">
      <alignment horizontal="right" vertical="center"/>
    </xf>
    <xf borderId="34" fillId="5" fontId="33" numFmtId="0" xfId="0" applyAlignment="1" applyBorder="1" applyFont="1">
      <alignment horizontal="center" vertical="center"/>
    </xf>
    <xf borderId="35" fillId="0" fontId="2" numFmtId="0" xfId="0" applyBorder="1" applyFont="1"/>
    <xf borderId="36" fillId="0" fontId="2" numFmtId="0" xfId="0" applyBorder="1" applyFont="1"/>
    <xf borderId="37" fillId="0" fontId="2" numFmtId="0" xfId="0" applyBorder="1" applyFont="1"/>
    <xf borderId="0" fillId="5" fontId="33" numFmtId="0" xfId="0" applyAlignment="1" applyFont="1">
      <alignment horizontal="center" vertical="center"/>
    </xf>
    <xf borderId="0" fillId="5" fontId="33" numFmtId="0" xfId="0" applyAlignment="1" applyFont="1">
      <alignment vertical="center"/>
    </xf>
    <xf borderId="0" fillId="5" fontId="33" numFmtId="168" xfId="0" applyAlignment="1" applyFont="1" applyNumberFormat="1">
      <alignment vertical="center"/>
    </xf>
    <xf borderId="34" fillId="5" fontId="34" numFmtId="0" xfId="0" applyAlignment="1" applyBorder="1" applyFont="1">
      <alignment vertical="center"/>
    </xf>
    <xf borderId="34" fillId="7" fontId="22" numFmtId="166" xfId="0" applyAlignment="1" applyBorder="1" applyFont="1" applyNumberFormat="1">
      <alignment vertical="center"/>
    </xf>
    <xf borderId="38" fillId="0" fontId="2" numFmtId="0" xfId="0" applyBorder="1" applyFont="1"/>
    <xf borderId="0" fillId="5" fontId="23" numFmtId="0" xfId="0" applyAlignment="1" applyFont="1">
      <alignment shrinkToFit="0" vertical="center" wrapText="1"/>
    </xf>
    <xf borderId="39" fillId="5" fontId="23" numFmtId="0" xfId="0" applyAlignment="1" applyBorder="1" applyFont="1">
      <alignment vertical="center"/>
    </xf>
    <xf borderId="39" fillId="5" fontId="23" numFmtId="0" xfId="0" applyAlignment="1" applyBorder="1" applyFont="1">
      <alignment shrinkToFit="0" vertical="center" wrapText="0"/>
    </xf>
    <xf borderId="39" fillId="5" fontId="23" numFmtId="9" xfId="0" applyAlignment="1" applyBorder="1" applyFont="1" applyNumberFormat="1">
      <alignment horizontal="center" shrinkToFit="0" vertical="center" wrapText="0"/>
    </xf>
    <xf borderId="39" fillId="5" fontId="24" numFmtId="167" xfId="0" applyAlignment="1" applyBorder="1" applyFont="1" applyNumberFormat="1">
      <alignment horizontal="center" shrinkToFit="0" vertical="center" wrapText="1"/>
    </xf>
    <xf borderId="39" fillId="5" fontId="24" numFmtId="168" xfId="0" applyAlignment="1" applyBorder="1" applyFont="1" applyNumberFormat="1">
      <alignment horizontal="center" shrinkToFit="0" vertical="center" wrapText="1"/>
    </xf>
    <xf borderId="39" fillId="5" fontId="35" numFmtId="0" xfId="0" applyAlignment="1" applyBorder="1" applyFont="1">
      <alignment horizontal="right" shrinkToFit="0" vertical="center" wrapText="1"/>
    </xf>
    <xf borderId="0" fillId="11" fontId="32" numFmtId="168" xfId="0" applyAlignment="1" applyFont="1" applyNumberFormat="1">
      <alignment horizontal="center" shrinkToFit="0" vertical="center" wrapText="1"/>
    </xf>
    <xf borderId="40" fillId="5" fontId="35" numFmtId="0" xfId="0" applyAlignment="1" applyBorder="1" applyFont="1">
      <alignment horizontal="right" shrinkToFit="0" vertical="center" wrapText="1"/>
    </xf>
    <xf borderId="41" fillId="0" fontId="2" numFmtId="0" xfId="0" applyBorder="1" applyFont="1"/>
    <xf borderId="42" fillId="0" fontId="2" numFmtId="0" xfId="0" applyBorder="1" applyFont="1"/>
    <xf borderId="43" fillId="11" fontId="32" numFmtId="168" xfId="0" applyAlignment="1" applyBorder="1" applyFont="1" applyNumberFormat="1">
      <alignment horizontal="center" shrinkToFit="0" vertical="center" wrapText="1"/>
    </xf>
    <xf borderId="39" fillId="14" fontId="23" numFmtId="0" xfId="0" applyAlignment="1" applyBorder="1" applyFill="1" applyFont="1">
      <alignment horizontal="center" shrinkToFit="0" vertical="center" wrapText="1"/>
    </xf>
    <xf borderId="40" fillId="14" fontId="22" numFmtId="166" xfId="0" applyAlignment="1" applyBorder="1" applyFont="1" applyNumberFormat="1">
      <alignment vertical="center"/>
    </xf>
    <xf borderId="40" fillId="5" fontId="24" numFmtId="167" xfId="0" applyAlignment="1" applyBorder="1" applyFont="1" applyNumberFormat="1">
      <alignment horizontal="left" shrinkToFit="0" vertical="center" wrapText="1"/>
    </xf>
    <xf borderId="39" fillId="5" fontId="23" numFmtId="0" xfId="0" applyAlignment="1" applyBorder="1" applyFont="1">
      <alignment horizontal="center" shrinkToFit="0" vertical="center" wrapText="1"/>
    </xf>
    <xf borderId="40" fillId="5" fontId="23" numFmtId="0" xfId="0" applyAlignment="1" applyBorder="1" applyFont="1">
      <alignment shrinkToFit="0" vertical="center" wrapText="0"/>
    </xf>
    <xf borderId="39" fillId="5" fontId="24" numFmtId="9" xfId="0" applyAlignment="1" applyBorder="1" applyFont="1" applyNumberFormat="1">
      <alignment horizontal="center" shrinkToFit="0" vertical="center" wrapText="1"/>
    </xf>
    <xf borderId="40" fillId="5" fontId="23" numFmtId="0" xfId="0" applyAlignment="1" applyBorder="1" applyFont="1">
      <alignment shrinkToFit="0" vertical="center" wrapText="1"/>
    </xf>
    <xf borderId="40" fillId="5" fontId="23" numFmtId="0" xfId="0" applyAlignment="1" applyBorder="1" applyFont="1">
      <alignment vertical="center"/>
    </xf>
    <xf borderId="39" fillId="5" fontId="23" numFmtId="0" xfId="0" applyAlignment="1" applyBorder="1" applyFont="1">
      <alignment shrinkToFit="0" vertical="center" wrapText="1"/>
    </xf>
    <xf borderId="39" fillId="11" fontId="32" numFmtId="168" xfId="0" applyAlignment="1" applyBorder="1" applyFont="1" applyNumberFormat="1">
      <alignment horizontal="center" shrinkToFit="0" vertical="center" wrapText="1"/>
    </xf>
    <xf borderId="40" fillId="8" fontId="34" numFmtId="0" xfId="0" applyAlignment="1" applyBorder="1" applyFont="1">
      <alignment vertical="center"/>
    </xf>
    <xf borderId="44" fillId="5" fontId="34" numFmtId="0" xfId="0" applyAlignment="1" applyBorder="1" applyFont="1">
      <alignment vertical="center"/>
    </xf>
    <xf borderId="45" fillId="0" fontId="2" numFmtId="0" xfId="0" applyBorder="1" applyFont="1"/>
    <xf borderId="46" fillId="0" fontId="2" numFmtId="0" xfId="0" applyBorder="1" applyFont="1"/>
    <xf borderId="47" fillId="0" fontId="2" numFmtId="0" xfId="0" applyBorder="1" applyFont="1"/>
    <xf borderId="48" fillId="12" fontId="32" numFmtId="166" xfId="0" applyAlignment="1" applyBorder="1" applyFont="1" applyNumberFormat="1">
      <alignment horizontal="right" vertical="center"/>
    </xf>
    <xf borderId="49" fillId="0" fontId="2" numFmtId="0" xfId="0" applyBorder="1" applyFont="1"/>
    <xf borderId="50" fillId="0" fontId="2" numFmtId="0" xfId="0" applyBorder="1" applyFont="1"/>
    <xf borderId="51" fillId="12" fontId="32" numFmtId="168" xfId="0" applyAlignment="1" applyBorder="1" applyFont="1" applyNumberFormat="1">
      <alignment horizontal="right" vertical="center"/>
    </xf>
    <xf borderId="28" fillId="2" fontId="1" numFmtId="0" xfId="0" applyAlignment="1" applyBorder="1" applyFont="1">
      <alignment horizontal="center" shrinkToFit="0" vertical="center" wrapText="1"/>
    </xf>
    <xf borderId="28" fillId="3" fontId="36" numFmtId="0" xfId="0" applyAlignment="1" applyBorder="1" applyFont="1">
      <alignment horizontal="center" shrinkToFit="0" vertical="center" wrapText="1"/>
    </xf>
    <xf borderId="0" fillId="5" fontId="37" numFmtId="0" xfId="0" applyAlignment="1" applyFont="1">
      <alignment vertical="center"/>
    </xf>
    <xf borderId="0" fillId="5" fontId="37" numFmtId="0" xfId="0" applyAlignment="1" applyFont="1">
      <alignment vertical="top"/>
    </xf>
    <xf borderId="34" fillId="15" fontId="38" numFmtId="166" xfId="0" applyAlignment="1" applyBorder="1" applyFill="1" applyFont="1" applyNumberFormat="1">
      <alignment vertical="center"/>
    </xf>
    <xf borderId="0" fillId="5" fontId="39" numFmtId="0" xfId="0" applyAlignment="1" applyFont="1">
      <alignment horizontal="center" shrinkToFit="0" vertical="center" wrapText="1"/>
    </xf>
    <xf borderId="0" fillId="5" fontId="39" numFmtId="0" xfId="0" applyAlignment="1" applyFont="1">
      <alignment shrinkToFit="0" vertical="top" wrapText="1"/>
    </xf>
    <xf borderId="0" fillId="5" fontId="37" numFmtId="0" xfId="0" applyFont="1"/>
    <xf borderId="0" fillId="5" fontId="40" numFmtId="0" xfId="0" applyAlignment="1" applyFont="1">
      <alignment shrinkToFit="0" vertical="center" wrapText="1"/>
    </xf>
    <xf borderId="28" fillId="16" fontId="17" numFmtId="0" xfId="0" applyAlignment="1" applyBorder="1" applyFill="1" applyFont="1">
      <alignment horizontal="center"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i="0" sz="2400">
                <a:solidFill>
                  <a:srgbClr val="356854"/>
                </a:solidFill>
                <a:latin typeface="+mn-lt"/>
              </a:defRPr>
            </a:pPr>
            <a:r>
              <a:rPr b="1" i="0" sz="2400">
                <a:solidFill>
                  <a:srgbClr val="356854"/>
                </a:solidFill>
                <a:latin typeface="+mn-lt"/>
              </a:rPr>
              <a:t>Area wise Furniture work cost distribution</a:t>
            </a:r>
          </a:p>
        </c:rich>
      </c:tx>
      <c:overlay val="0"/>
    </c:title>
    <c:plotArea>
      <c:layout/>
      <c:doughnutChart>
        <c:varyColors val="1"/>
        <c:ser>
          <c:idx val="0"/>
          <c:order val="0"/>
          <c:tx>
            <c:strRef>
              <c:f>'SUMMARY &amp; COST DISTRIBUTION'!$B$61</c:f>
            </c:strRef>
          </c:tx>
          <c:dPt>
            <c:idx val="0"/>
            <c:spPr>
              <a:solidFill>
                <a:srgbClr val="8E7CC3"/>
              </a:solidFill>
            </c:spPr>
          </c:dPt>
          <c:dPt>
            <c:idx val="1"/>
            <c:spPr>
              <a:solidFill>
                <a:srgbClr val="674EA7"/>
              </a:solidFill>
            </c:spPr>
          </c:dPt>
          <c:dPt>
            <c:idx val="2"/>
            <c:spPr>
              <a:solidFill>
                <a:srgbClr val="FF6F31"/>
              </a:solidFill>
            </c:spPr>
          </c:dPt>
          <c:dPt>
            <c:idx val="3"/>
            <c:spPr>
              <a:solidFill>
                <a:srgbClr val="BF9000"/>
              </a:solidFill>
            </c:spPr>
          </c:dPt>
          <c:dPt>
            <c:idx val="4"/>
            <c:spPr>
              <a:solidFill>
                <a:srgbClr val="0F45A8"/>
              </a:solidFill>
            </c:spPr>
          </c:dPt>
          <c:dPt>
            <c:idx val="5"/>
            <c:spPr>
              <a:solidFill>
                <a:srgbClr val="4CDC8B"/>
              </a:solidFill>
            </c:spPr>
          </c:dPt>
          <c:dPt>
            <c:idx val="6"/>
            <c:spPr>
              <a:solidFill>
                <a:srgbClr val="C9DAF8"/>
              </a:solidFill>
            </c:spPr>
          </c:dPt>
          <c:dPt>
            <c:idx val="7"/>
            <c:spPr>
              <a:solidFill>
                <a:srgbClr val="A64D79"/>
              </a:solidFill>
            </c:spPr>
          </c:dPt>
          <c:dLbls>
            <c:showLegendKey val="0"/>
            <c:showVal val="1"/>
            <c:showCatName val="0"/>
            <c:showSerName val="0"/>
            <c:showPercent val="0"/>
            <c:showBubbleSize val="0"/>
            <c:showLeaderLines val="1"/>
          </c:dLbls>
          <c:cat>
            <c:strRef>
              <c:f>'SUMMARY &amp; COST DISTRIBUTION'!$A$62:$A$69</c:f>
            </c:strRef>
          </c:cat>
          <c:val>
            <c:numRef>
              <c:f>'SUMMARY &amp; COST DISTRIBUTION'!$B$62:$B$69</c:f>
              <c:numCache/>
            </c:numRef>
          </c:val>
        </c:ser>
        <c:dLbls>
          <c:showLegendKey val="0"/>
          <c:showVal val="0"/>
          <c:showCatName val="0"/>
          <c:showSerName val="0"/>
          <c:showPercent val="0"/>
          <c:showBubbleSize val="0"/>
        </c:dLbls>
        <c:holeSize val="50"/>
      </c:doughnutChart>
    </c:plotArea>
    <c:legend>
      <c:legendPos val="r"/>
      <c:overlay val="0"/>
      <c:txPr>
        <a:bodyPr/>
        <a:lstStyle/>
        <a:p>
          <a:pPr lvl="0">
            <a:defRPr b="1" i="1" sz="2000">
              <a:solidFill>
                <a:srgbClr val="356854"/>
              </a:solidFill>
              <a:latin typeface="Arial Narrow"/>
            </a:defRPr>
          </a:pPr>
        </a:p>
      </c:txPr>
    </c:legend>
    <c:plotVisOnly val="1"/>
  </c:chart>
  <c:spPr>
    <a:solidFill>
      <a:srgbClr val="F3F3F3"/>
    </a:solidFill>
  </c:spPr>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i="0" sz="2400">
                <a:solidFill>
                  <a:srgbClr val="45646D"/>
                </a:solidFill>
                <a:latin typeface="+mn-lt"/>
              </a:defRPr>
            </a:pPr>
            <a:r>
              <a:rPr b="1" i="0" sz="2400">
                <a:solidFill>
                  <a:srgbClr val="45646D"/>
                </a:solidFill>
                <a:latin typeface="+mn-lt"/>
              </a:rPr>
              <a:t>Other Works Cost Distribution</a:t>
            </a:r>
          </a:p>
        </c:rich>
      </c:tx>
      <c:overlay val="0"/>
    </c:title>
    <c:plotArea>
      <c:layout/>
      <c:doughnutChart>
        <c:varyColors val="1"/>
        <c:ser>
          <c:idx val="0"/>
          <c:order val="0"/>
          <c:tx>
            <c:strRef>
              <c:f>'SUMMARY &amp; COST DISTRIBUTION'!$B$103</c:f>
            </c:strRef>
          </c:tx>
          <c:dPt>
            <c:idx val="0"/>
            <c:spPr>
              <a:solidFill>
                <a:srgbClr val="D5A6BD"/>
              </a:solidFill>
            </c:spPr>
          </c:dPt>
          <c:dPt>
            <c:idx val="1"/>
            <c:spPr>
              <a:solidFill>
                <a:srgbClr val="6FA8DC"/>
              </a:solidFill>
            </c:spPr>
          </c:dPt>
          <c:dPt>
            <c:idx val="2"/>
            <c:spPr>
              <a:solidFill>
                <a:srgbClr val="FF6F31"/>
              </a:solidFill>
            </c:spPr>
          </c:dPt>
          <c:dPt>
            <c:idx val="3"/>
            <c:spPr>
              <a:solidFill>
                <a:srgbClr val="93C47D"/>
              </a:solidFill>
            </c:spPr>
          </c:dPt>
          <c:dPt>
            <c:idx val="4"/>
            <c:spPr>
              <a:solidFill>
                <a:srgbClr val="0F45A8"/>
              </a:solidFill>
            </c:spPr>
          </c:dPt>
          <c:dPt>
            <c:idx val="5"/>
            <c:spPr>
              <a:solidFill>
                <a:srgbClr val="4CDC8B"/>
              </a:solidFill>
            </c:spPr>
          </c:dPt>
          <c:dPt>
            <c:idx val="6"/>
            <c:spPr>
              <a:solidFill>
                <a:srgbClr val="8AB2C6"/>
              </a:solidFill>
            </c:spPr>
          </c:dPt>
          <c:dPt>
            <c:idx val="7"/>
            <c:spPr>
              <a:solidFill>
                <a:srgbClr val="4D7D90"/>
              </a:solidFill>
            </c:spPr>
          </c:dPt>
          <c:dPt>
            <c:idx val="8"/>
            <c:spPr>
              <a:solidFill>
                <a:srgbClr val="FF9A6F"/>
              </a:solidFill>
            </c:spPr>
          </c:dPt>
          <c:dPt>
            <c:idx val="9"/>
            <c:spPr>
              <a:solidFill>
                <a:srgbClr val="76A5AF"/>
              </a:solidFill>
            </c:spPr>
          </c:dPt>
          <c:dLbls>
            <c:showLegendKey val="0"/>
            <c:showVal val="1"/>
            <c:showCatName val="0"/>
            <c:showSerName val="0"/>
            <c:showPercent val="0"/>
            <c:showBubbleSize val="0"/>
            <c:showLeaderLines val="1"/>
          </c:dLbls>
          <c:cat>
            <c:strRef>
              <c:f>'SUMMARY &amp; COST DISTRIBUTION'!$A$104:$A$113</c:f>
            </c:strRef>
          </c:cat>
          <c:val>
            <c:numRef>
              <c:f>'SUMMARY &amp; COST DISTRIBUTION'!$B$104:$B$113</c:f>
              <c:numCache/>
            </c:numRef>
          </c:val>
        </c:ser>
        <c:dLbls>
          <c:showLegendKey val="0"/>
          <c:showVal val="0"/>
          <c:showCatName val="0"/>
          <c:showSerName val="0"/>
          <c:showPercent val="0"/>
          <c:showBubbleSize val="0"/>
        </c:dLbls>
        <c:holeSize val="50"/>
      </c:doughnutChart>
    </c:plotArea>
    <c:legend>
      <c:legendPos val="r"/>
      <c:overlay val="0"/>
      <c:txPr>
        <a:bodyPr/>
        <a:lstStyle/>
        <a:p>
          <a:pPr lvl="0">
            <a:defRPr b="1" i="1" sz="2400">
              <a:solidFill>
                <a:srgbClr val="356854"/>
              </a:solidFill>
              <a:latin typeface="Arial Narrow"/>
            </a:defRPr>
          </a:pPr>
        </a:p>
      </c:txPr>
    </c:legend>
    <c:plotVisOnly val="1"/>
  </c:chart>
  <c:spPr>
    <a:solidFill>
      <a:srgbClr val="F3F3F3"/>
    </a:solidFill>
  </c:spPr>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 Id="rId3"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29</xdr:row>
      <xdr:rowOff>304800</xdr:rowOff>
    </xdr:from>
    <xdr:ext cx="10020300" cy="5695950"/>
    <xdr:graphicFrame>
      <xdr:nvGraphicFramePr>
        <xdr:cNvPr id="1" name="Chart 1" title="Chart"/>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0</xdr:col>
      <xdr:colOff>0</xdr:colOff>
      <xdr:row>73</xdr:row>
      <xdr:rowOff>304800</xdr:rowOff>
    </xdr:from>
    <xdr:ext cx="10020300" cy="5305425"/>
    <xdr:graphicFrame>
      <xdr:nvGraphicFramePr>
        <xdr:cNvPr id="2" name="Chart 2" title="Chart"/>
        <xdr:cNvGraphicFramePr/>
      </xdr:nvGraphicFramePr>
      <xdr:xfrm>
        <a:off x="0" y="0"/>
        <a:ext cx="0" cy="0"/>
      </xdr:xfrm>
      <a:graphic>
        <a:graphicData uri="http://schemas.openxmlformats.org/drawingml/2006/chart">
          <c:chart r:id="rId2"/>
        </a:graphicData>
      </a:graphic>
    </xdr:graphicFrame>
    <xdr:clientData fLocksWithSheet="0"/>
  </xdr:oneCellAnchor>
  <xdr:oneCellAnchor>
    <xdr:from>
      <xdr:col>0</xdr:col>
      <xdr:colOff>0</xdr:colOff>
      <xdr:row>0</xdr:row>
      <xdr:rowOff>0</xdr:rowOff>
    </xdr:from>
    <xdr:ext cx="219075" cy="190500"/>
    <xdr:pic>
      <xdr:nvPicPr>
        <xdr:cNvPr id="0" name="image1.jpg"/>
        <xdr:cNvPicPr preferRelativeResize="0"/>
      </xdr:nvPicPr>
      <xdr:blipFill>
        <a:blip cstate="print" r:embed="rId3"/>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1C232"/>
      </a:lt1>
      <a:dk2>
        <a:srgbClr val="000000"/>
      </a:dk2>
      <a:lt2>
        <a:srgbClr val="F1C232"/>
      </a:lt2>
      <a:accent1>
        <a:srgbClr val="5891AD"/>
      </a:accent1>
      <a:accent2>
        <a:srgbClr val="004561"/>
      </a:accent2>
      <a:accent3>
        <a:srgbClr val="FF6F31"/>
      </a:accent3>
      <a:accent4>
        <a:srgbClr val="1C7685"/>
      </a:accent4>
      <a:accent5>
        <a:srgbClr val="0F45A8"/>
      </a:accent5>
      <a:accent6>
        <a:srgbClr val="4CDC8B"/>
      </a:accent6>
      <a:hlink>
        <a:srgbClr val="0097A7"/>
      </a:hlink>
      <a:folHlink>
        <a:srgbClr val="0097A7"/>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cap="flat" cmpd="sng" w="6350" algn="ctr">
          <a:solidFill>
            <a:schemeClr val="phClr"/>
          </a:solidFill>
          <a:prstDash val="solid"/>
          <a:miter lim="800000"/>
        </a:ln>
        <a:ln cap="flat" cmpd="sng" w="12700" algn="ctr">
          <a:solidFill>
            <a:schemeClr val="phClr"/>
          </a:solidFill>
          <a:prstDash val="solid"/>
          <a:miter lim="800000"/>
        </a:ln>
        <a:ln cap="flat" cmpd="sng" w="19050" algn="ctr">
          <a:solidFill>
            <a:schemeClr val="phClr"/>
          </a:solidFill>
          <a:prstDash val="solid"/>
          <a:miter lim="800000"/>
        </a:ln>
      </a:lnStyleLst>
      <a:effectStyleLst>
        <a:effectStyle>
          <a:effectLst/>
        </a:effectStyle>
        <a:effectStyle>
          <a:effectLst/>
        </a:effectStyle>
        <a:effectStyle>
          <a:effectLst>
            <a:outerShdw blurRad="57150" rotWithShape="0" algn="ctr" dir="5400000" dist="1905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4.43" defaultRowHeight="15.0"/>
  <cols>
    <col customWidth="1" min="1" max="1" width="91.71"/>
    <col customWidth="1" min="2" max="2" width="40.29"/>
    <col customWidth="1" min="3" max="3" width="23.29"/>
    <col customWidth="1" min="4" max="4" width="37.43"/>
    <col customWidth="1" min="5" max="11" width="12.57"/>
  </cols>
  <sheetData>
    <row r="1">
      <c r="A1" s="1"/>
      <c r="B1" s="2"/>
      <c r="C1" s="3"/>
      <c r="D1" s="3"/>
    </row>
    <row r="2">
      <c r="A2" s="4"/>
      <c r="B2" s="5"/>
      <c r="C2" s="3"/>
      <c r="D2" s="3"/>
    </row>
    <row r="3">
      <c r="A3" s="4"/>
      <c r="B3" s="5"/>
      <c r="C3" s="3"/>
      <c r="D3" s="3"/>
    </row>
    <row r="4">
      <c r="A4" s="4"/>
      <c r="B4" s="5"/>
      <c r="C4" s="3"/>
      <c r="D4" s="3"/>
    </row>
    <row r="5">
      <c r="A5" s="4"/>
      <c r="B5" s="5"/>
      <c r="C5" s="3"/>
      <c r="D5" s="3"/>
    </row>
    <row r="6">
      <c r="A6" s="4"/>
      <c r="B6" s="5"/>
      <c r="C6" s="3"/>
      <c r="D6" s="3"/>
    </row>
    <row r="7">
      <c r="A7" s="4"/>
      <c r="B7" s="5"/>
      <c r="C7" s="3"/>
      <c r="D7" s="3"/>
    </row>
    <row r="8">
      <c r="A8" s="4"/>
      <c r="B8" s="5"/>
      <c r="C8" s="3"/>
      <c r="D8" s="3"/>
    </row>
    <row r="9">
      <c r="A9" s="4"/>
      <c r="B9" s="5"/>
      <c r="C9" s="3"/>
      <c r="D9" s="3"/>
    </row>
    <row r="10">
      <c r="A10" s="4"/>
      <c r="B10" s="5"/>
      <c r="C10" s="3"/>
      <c r="D10" s="3"/>
    </row>
    <row r="11">
      <c r="A11" s="4"/>
      <c r="B11" s="5"/>
      <c r="C11" s="3"/>
      <c r="D11" s="3"/>
    </row>
    <row r="12">
      <c r="A12" s="4"/>
      <c r="B12" s="5"/>
      <c r="C12" s="3"/>
      <c r="D12" s="3"/>
    </row>
    <row r="13">
      <c r="A13" s="4"/>
      <c r="B13" s="5"/>
      <c r="C13" s="3"/>
      <c r="D13" s="3"/>
    </row>
    <row r="14">
      <c r="A14" s="4"/>
      <c r="B14" s="5"/>
      <c r="C14" s="3"/>
      <c r="D14" s="3"/>
    </row>
    <row r="15" ht="1.5" customHeight="1">
      <c r="A15" s="6"/>
      <c r="B15" s="7"/>
      <c r="C15" s="3"/>
      <c r="D15" s="3"/>
    </row>
    <row r="16">
      <c r="A16" s="8" t="s">
        <v>0</v>
      </c>
      <c r="B16" s="9"/>
      <c r="C16" s="3"/>
      <c r="D16" s="3"/>
    </row>
    <row r="17">
      <c r="A17" s="10" t="s">
        <v>1</v>
      </c>
      <c r="B17" s="11"/>
      <c r="C17" s="3"/>
      <c r="D17" s="3"/>
    </row>
    <row r="18" ht="30.0" customHeight="1">
      <c r="A18" s="12" t="s">
        <v>2</v>
      </c>
      <c r="B18" s="13" t="s">
        <v>3</v>
      </c>
      <c r="C18" s="3"/>
      <c r="D18" s="3"/>
    </row>
    <row r="19" ht="30.0" customHeight="1">
      <c r="A19" s="12" t="s">
        <v>4</v>
      </c>
      <c r="B19" s="13" t="s">
        <v>5</v>
      </c>
      <c r="C19" s="3"/>
      <c r="D19" s="3"/>
    </row>
    <row r="20" ht="30.0" customHeight="1">
      <c r="A20" s="12" t="s">
        <v>6</v>
      </c>
      <c r="B20" s="13" t="s">
        <v>7</v>
      </c>
      <c r="C20" s="3"/>
      <c r="D20" s="3"/>
    </row>
    <row r="21" ht="30.0" customHeight="1">
      <c r="A21" s="12" t="s">
        <v>8</v>
      </c>
      <c r="B21" s="13" t="s">
        <v>9</v>
      </c>
      <c r="C21" s="3"/>
      <c r="D21" s="3"/>
    </row>
    <row r="22" ht="30.0" customHeight="1">
      <c r="A22" s="12" t="s">
        <v>10</v>
      </c>
      <c r="B22" s="13" t="s">
        <v>11</v>
      </c>
      <c r="C22" s="3"/>
      <c r="D22" s="3"/>
    </row>
    <row r="23" ht="30.0" customHeight="1">
      <c r="A23" s="12" t="s">
        <v>12</v>
      </c>
      <c r="B23" s="13" t="s">
        <v>13</v>
      </c>
      <c r="C23" s="14"/>
      <c r="D23" s="3"/>
    </row>
    <row r="24" ht="30.0" customHeight="1">
      <c r="A24" s="12" t="s">
        <v>14</v>
      </c>
      <c r="B24" s="15" t="str">
        <f>TODAY()</f>
        <v>9/11/2026</v>
      </c>
      <c r="C24" s="3"/>
      <c r="D24" s="3"/>
    </row>
    <row r="25" ht="15.75" customHeight="1">
      <c r="A25" s="16"/>
      <c r="B25" s="17"/>
      <c r="C25" s="3"/>
      <c r="D25" s="3"/>
    </row>
    <row r="26" ht="15.75" customHeight="1">
      <c r="A26" s="18"/>
      <c r="B26" s="19"/>
      <c r="C26" s="3"/>
      <c r="D26" s="3"/>
    </row>
    <row r="27" ht="15.75" customHeight="1">
      <c r="A27" s="20"/>
      <c r="B27" s="21"/>
      <c r="C27" s="3"/>
      <c r="D27" s="3"/>
    </row>
    <row r="28" ht="15.75" customHeight="1">
      <c r="A28" s="22" t="s">
        <v>15</v>
      </c>
      <c r="B28" s="11"/>
      <c r="C28" s="3"/>
      <c r="D28" s="3"/>
    </row>
    <row r="29" ht="15.75" customHeight="1">
      <c r="A29" s="23"/>
      <c r="B29" s="11"/>
      <c r="C29" s="3"/>
      <c r="D29" s="3"/>
    </row>
    <row r="30" ht="15.75" customHeight="1">
      <c r="A30" s="24" t="s">
        <v>16</v>
      </c>
      <c r="B30" s="11"/>
      <c r="C30" s="3"/>
      <c r="D30" s="3"/>
    </row>
    <row r="31" ht="15.75" customHeight="1">
      <c r="A31" s="25"/>
      <c r="B31" s="5"/>
      <c r="C31" s="3"/>
      <c r="D31" s="3"/>
    </row>
    <row r="32" ht="15.75" customHeight="1">
      <c r="A32" s="4"/>
      <c r="B32" s="5"/>
      <c r="C32" s="3"/>
      <c r="D32" s="3"/>
    </row>
    <row r="33" ht="15.75" customHeight="1">
      <c r="A33" s="4"/>
      <c r="B33" s="5"/>
      <c r="C33" s="3"/>
      <c r="D33" s="3"/>
    </row>
    <row r="34" ht="15.75" customHeight="1">
      <c r="A34" s="4"/>
      <c r="B34" s="5"/>
      <c r="C34" s="3"/>
      <c r="D34" s="3"/>
    </row>
    <row r="35" ht="15.75" customHeight="1">
      <c r="A35" s="4"/>
      <c r="B35" s="5"/>
      <c r="C35" s="3"/>
      <c r="D35" s="3"/>
    </row>
    <row r="36" ht="15.75" customHeight="1">
      <c r="A36" s="4"/>
      <c r="B36" s="5"/>
      <c r="C36" s="3"/>
      <c r="D36" s="3"/>
    </row>
    <row r="37" ht="15.75" customHeight="1">
      <c r="A37" s="4"/>
      <c r="B37" s="5"/>
      <c r="C37" s="3"/>
      <c r="D37" s="3"/>
    </row>
    <row r="38" ht="15.75" customHeight="1">
      <c r="A38" s="4"/>
      <c r="B38" s="5"/>
      <c r="C38" s="3"/>
      <c r="D38" s="3"/>
    </row>
    <row r="39" ht="15.75" customHeight="1">
      <c r="A39" s="4"/>
      <c r="B39" s="5"/>
      <c r="C39" s="3"/>
      <c r="D39" s="3"/>
    </row>
    <row r="40" ht="15.75" customHeight="1">
      <c r="A40" s="4"/>
      <c r="B40" s="5"/>
      <c r="C40" s="3"/>
      <c r="D40" s="3"/>
    </row>
    <row r="41" ht="15.75" customHeight="1">
      <c r="A41" s="4"/>
      <c r="B41" s="5"/>
      <c r="C41" s="3"/>
      <c r="D41" s="3"/>
    </row>
    <row r="42" ht="15.75" customHeight="1">
      <c r="A42" s="4"/>
      <c r="B42" s="5"/>
      <c r="C42" s="3"/>
      <c r="D42" s="3"/>
    </row>
    <row r="43" ht="15.75" customHeight="1">
      <c r="A43" s="4"/>
      <c r="B43" s="5"/>
      <c r="C43" s="3"/>
      <c r="D43" s="3"/>
    </row>
    <row r="44" ht="15.75" customHeight="1">
      <c r="A44" s="4"/>
      <c r="B44" s="5"/>
      <c r="C44" s="3"/>
      <c r="D44" s="3"/>
    </row>
    <row r="45" ht="15.75" customHeight="1">
      <c r="A45" s="4"/>
      <c r="B45" s="5"/>
      <c r="C45" s="3"/>
      <c r="D45" s="3"/>
    </row>
    <row r="46" ht="15.75" customHeight="1">
      <c r="A46" s="4"/>
      <c r="B46" s="5"/>
      <c r="C46" s="3"/>
      <c r="D46" s="3"/>
    </row>
    <row r="47" ht="15.75" customHeight="1">
      <c r="A47" s="4"/>
      <c r="B47" s="5"/>
      <c r="C47" s="3"/>
      <c r="D47" s="3"/>
    </row>
    <row r="48" ht="15.75" customHeight="1">
      <c r="A48" s="4"/>
      <c r="B48" s="5"/>
      <c r="C48" s="3"/>
      <c r="D48" s="3"/>
    </row>
    <row r="49" ht="15.75" customHeight="1">
      <c r="A49" s="4"/>
      <c r="B49" s="5"/>
      <c r="C49" s="3"/>
      <c r="D49" s="3"/>
    </row>
    <row r="50" ht="15.75" customHeight="1">
      <c r="A50" s="4"/>
      <c r="B50" s="5"/>
      <c r="C50" s="3"/>
      <c r="D50" s="3"/>
    </row>
    <row r="51" ht="15.75" customHeight="1">
      <c r="A51" s="4"/>
      <c r="B51" s="5"/>
      <c r="C51" s="3"/>
      <c r="D51" s="3"/>
    </row>
    <row r="52" ht="15.75" customHeight="1">
      <c r="A52" s="4"/>
      <c r="B52" s="5"/>
      <c r="C52" s="3"/>
      <c r="D52" s="3"/>
    </row>
    <row r="53" ht="15.75" customHeight="1">
      <c r="A53" s="4"/>
      <c r="B53" s="5"/>
      <c r="C53" s="3"/>
      <c r="D53" s="3"/>
    </row>
    <row r="54" ht="15.75" customHeight="1">
      <c r="A54" s="4"/>
      <c r="B54" s="5"/>
      <c r="C54" s="3"/>
      <c r="D54" s="3"/>
    </row>
    <row r="55" ht="15.75" customHeight="1">
      <c r="A55" s="4"/>
      <c r="B55" s="5"/>
      <c r="C55" s="3"/>
      <c r="D55" s="3"/>
    </row>
    <row r="56" ht="15.75" customHeight="1">
      <c r="A56" s="4"/>
      <c r="B56" s="5"/>
      <c r="C56" s="3"/>
      <c r="D56" s="3"/>
    </row>
    <row r="57" ht="15.75" customHeight="1">
      <c r="A57" s="4"/>
      <c r="B57" s="5"/>
      <c r="C57" s="3"/>
      <c r="D57" s="3"/>
    </row>
    <row r="58" ht="15.75" customHeight="1">
      <c r="A58" s="4"/>
      <c r="B58" s="5"/>
      <c r="C58" s="3"/>
      <c r="D58" s="3"/>
    </row>
    <row r="59" ht="15.75" customHeight="1">
      <c r="A59" s="4"/>
      <c r="B59" s="5"/>
      <c r="C59" s="3"/>
      <c r="D59" s="3"/>
    </row>
    <row r="60" ht="15.75" customHeight="1">
      <c r="A60" s="4"/>
      <c r="B60" s="5"/>
      <c r="C60" s="3"/>
      <c r="D60" s="3"/>
    </row>
    <row r="61" ht="15.75" customHeight="1">
      <c r="A61" s="26" t="s">
        <v>17</v>
      </c>
      <c r="B61" s="27" t="s">
        <v>18</v>
      </c>
      <c r="C61" s="3"/>
      <c r="D61" s="3"/>
    </row>
    <row r="62" ht="28.5" customHeight="1">
      <c r="A62" s="28" t="str">
        <f>'DETAILED ESTIMATE'!B4</f>
        <v>ENTRANCE FOYER AREA</v>
      </c>
      <c r="B62" s="29" t="str">
        <f>'DETAILED ESTIMATE'!J13</f>
        <v>₹ 40,200</v>
      </c>
      <c r="C62" s="3"/>
      <c r="D62" s="3"/>
    </row>
    <row r="63" ht="28.5" customHeight="1">
      <c r="A63" s="28" t="str">
        <f>'DETAILED ESTIMATE'!B15</f>
        <v>LIVING AREA</v>
      </c>
      <c r="B63" s="29" t="str">
        <f>'DETAILED ESTIMATE'!J26</f>
        <v>₹ 121,200</v>
      </c>
      <c r="C63" s="3"/>
      <c r="D63" s="3"/>
    </row>
    <row r="64" ht="28.5" customHeight="1">
      <c r="A64" s="28" t="str">
        <f>'DETAILED ESTIMATE'!B28</f>
        <v>BALCONY</v>
      </c>
      <c r="B64" s="29" t="str">
        <f>'DETAILED ESTIMATE'!J34</f>
        <v>₹ 40,500</v>
      </c>
      <c r="C64" s="3"/>
      <c r="D64" s="3"/>
    </row>
    <row r="65" ht="28.5" customHeight="1">
      <c r="A65" s="28" t="str">
        <f>'DETAILED ESTIMATE'!B36</f>
        <v>KITCHEN</v>
      </c>
      <c r="B65" s="29" t="str">
        <f>'DETAILED ESTIMATE'!J49</f>
        <v>₹ 486,800</v>
      </c>
      <c r="C65" s="3"/>
      <c r="D65" s="3"/>
    </row>
    <row r="66" ht="28.5" customHeight="1">
      <c r="A66" s="28" t="str">
        <f>'DETAILED ESTIMATE'!B51</f>
        <v>FIRST GUEST BEDROOM </v>
      </c>
      <c r="B66" s="29" t="str">
        <f>'DETAILED ESTIMATE'!J68</f>
        <v>₹ 167,500</v>
      </c>
      <c r="C66" s="3"/>
      <c r="D66" s="3"/>
    </row>
    <row r="67" ht="28.5" customHeight="1">
      <c r="A67" s="28" t="str">
        <f>'DETAILED ESTIMATE'!B70</f>
        <v>SECOND KIDS BEDROOM </v>
      </c>
      <c r="B67" s="29" t="str">
        <f>'DETAILED ESTIMATE'!J83</f>
        <v>₹ 178,380</v>
      </c>
      <c r="C67" s="3"/>
      <c r="D67" s="3"/>
    </row>
    <row r="68" ht="28.5" customHeight="1">
      <c r="A68" s="30" t="str">
        <f>'DETAILED ESTIMATE'!B85</f>
        <v>BATHROOM (COMMON ROOM)</v>
      </c>
      <c r="B68" s="31" t="str">
        <f>'DETAILED ESTIMATE'!J92</f>
        <v>₹ 0</v>
      </c>
      <c r="C68" s="3"/>
      <c r="D68" s="3"/>
    </row>
    <row r="69" ht="28.5" customHeight="1">
      <c r="A69" s="28" t="str">
        <f>'DETAILED ESTIMATE'!B94</f>
        <v>THIRD MASTER BEDROOM </v>
      </c>
      <c r="B69" s="29" t="str">
        <f>'DETAILED ESTIMATE'!J105</f>
        <v>₹ 272,440</v>
      </c>
      <c r="C69" s="3"/>
      <c r="D69" s="3"/>
    </row>
    <row r="70" ht="28.5" customHeight="1">
      <c r="A70" s="32" t="s">
        <v>19</v>
      </c>
      <c r="B70" s="11"/>
      <c r="C70" s="3"/>
      <c r="D70" s="3"/>
    </row>
    <row r="71" ht="15.75" customHeight="1">
      <c r="A71" s="24" t="s">
        <v>20</v>
      </c>
      <c r="B71" s="33" t="str">
        <f>SUM(B62:B70)</f>
        <v>₹ 1,307,020</v>
      </c>
      <c r="C71" s="3"/>
      <c r="D71" s="3"/>
    </row>
    <row r="72" ht="15.75" customHeight="1">
      <c r="A72" s="18"/>
      <c r="B72" s="19"/>
      <c r="C72" s="3"/>
      <c r="D72" s="3"/>
    </row>
    <row r="73" ht="15.75" customHeight="1">
      <c r="A73" s="20"/>
      <c r="B73" s="21"/>
      <c r="C73" s="3"/>
      <c r="D73" s="3"/>
    </row>
    <row r="74" ht="15.75" customHeight="1">
      <c r="A74" s="24" t="s">
        <v>21</v>
      </c>
      <c r="B74" s="11"/>
      <c r="C74" s="3"/>
      <c r="D74" s="3"/>
    </row>
    <row r="75" ht="15.75" customHeight="1">
      <c r="A75" s="25"/>
      <c r="B75" s="5"/>
      <c r="C75" s="3"/>
      <c r="D75" s="3"/>
    </row>
    <row r="76" ht="15.75" customHeight="1">
      <c r="A76" s="4"/>
      <c r="B76" s="5"/>
      <c r="C76" s="3"/>
      <c r="D76" s="3"/>
    </row>
    <row r="77" ht="15.75" customHeight="1">
      <c r="A77" s="4"/>
      <c r="B77" s="5"/>
      <c r="C77" s="3"/>
      <c r="D77" s="3"/>
    </row>
    <row r="78" ht="15.75" customHeight="1">
      <c r="A78" s="4"/>
      <c r="B78" s="5"/>
      <c r="C78" s="3"/>
      <c r="D78" s="3"/>
    </row>
    <row r="79" ht="15.75" customHeight="1">
      <c r="A79" s="4"/>
      <c r="B79" s="5"/>
      <c r="C79" s="3"/>
      <c r="D79" s="3"/>
    </row>
    <row r="80" ht="15.75" customHeight="1">
      <c r="A80" s="4"/>
      <c r="B80" s="5"/>
      <c r="C80" s="3"/>
      <c r="D80" s="3"/>
    </row>
    <row r="81" ht="15.75" customHeight="1">
      <c r="A81" s="4"/>
      <c r="B81" s="5"/>
      <c r="C81" s="3"/>
      <c r="D81" s="3"/>
    </row>
    <row r="82" ht="15.75" customHeight="1">
      <c r="A82" s="4"/>
      <c r="B82" s="5"/>
      <c r="C82" s="3"/>
      <c r="D82" s="3"/>
    </row>
    <row r="83" ht="15.75" customHeight="1">
      <c r="A83" s="4"/>
      <c r="B83" s="5"/>
      <c r="C83" s="3"/>
      <c r="D83" s="3"/>
    </row>
    <row r="84" ht="15.75" customHeight="1">
      <c r="A84" s="4"/>
      <c r="B84" s="5"/>
      <c r="C84" s="3"/>
      <c r="D84" s="3"/>
    </row>
    <row r="85" ht="15.75" customHeight="1">
      <c r="A85" s="4"/>
      <c r="B85" s="5"/>
      <c r="C85" s="3"/>
      <c r="D85" s="3"/>
    </row>
    <row r="86" ht="15.75" customHeight="1">
      <c r="A86" s="4"/>
      <c r="B86" s="5"/>
      <c r="C86" s="3"/>
      <c r="D86" s="3"/>
    </row>
    <row r="87" ht="15.75" customHeight="1">
      <c r="A87" s="4"/>
      <c r="B87" s="5"/>
      <c r="C87" s="3"/>
      <c r="D87" s="3"/>
    </row>
    <row r="88" ht="15.75" customHeight="1">
      <c r="A88" s="4"/>
      <c r="B88" s="5"/>
      <c r="C88" s="3"/>
      <c r="D88" s="3"/>
    </row>
    <row r="89" ht="15.75" customHeight="1">
      <c r="A89" s="4"/>
      <c r="B89" s="5"/>
      <c r="C89" s="3"/>
      <c r="D89" s="3"/>
    </row>
    <row r="90" ht="15.75" customHeight="1">
      <c r="A90" s="4"/>
      <c r="B90" s="5"/>
      <c r="C90" s="3"/>
      <c r="D90" s="3"/>
    </row>
    <row r="91" ht="15.75" customHeight="1">
      <c r="A91" s="4"/>
      <c r="B91" s="5"/>
      <c r="C91" s="3"/>
      <c r="D91" s="3"/>
    </row>
    <row r="92" ht="15.75" customHeight="1">
      <c r="A92" s="4"/>
      <c r="B92" s="5"/>
      <c r="C92" s="3"/>
      <c r="D92" s="3"/>
    </row>
    <row r="93" ht="15.75" customHeight="1">
      <c r="A93" s="4"/>
      <c r="B93" s="5"/>
      <c r="C93" s="3"/>
      <c r="D93" s="3"/>
    </row>
    <row r="94" ht="15.75" customHeight="1">
      <c r="A94" s="4"/>
      <c r="B94" s="5"/>
      <c r="C94" s="3"/>
      <c r="D94" s="3"/>
    </row>
    <row r="95" ht="15.75" customHeight="1">
      <c r="A95" s="4"/>
      <c r="B95" s="5"/>
      <c r="C95" s="3"/>
      <c r="D95" s="3"/>
    </row>
    <row r="96" ht="15.75" customHeight="1">
      <c r="A96" s="4"/>
      <c r="B96" s="5"/>
      <c r="C96" s="3"/>
      <c r="D96" s="3"/>
    </row>
    <row r="97" ht="15.75" customHeight="1">
      <c r="A97" s="4"/>
      <c r="B97" s="5"/>
      <c r="C97" s="3"/>
      <c r="D97" s="3"/>
    </row>
    <row r="98" ht="15.75" customHeight="1">
      <c r="A98" s="4"/>
      <c r="B98" s="5"/>
      <c r="C98" s="3"/>
      <c r="D98" s="3"/>
    </row>
    <row r="99" ht="15.75" customHeight="1">
      <c r="A99" s="4"/>
      <c r="B99" s="5"/>
      <c r="C99" s="3"/>
      <c r="D99" s="3"/>
    </row>
    <row r="100" ht="15.75" customHeight="1">
      <c r="A100" s="4"/>
      <c r="B100" s="5"/>
      <c r="C100" s="3"/>
      <c r="D100" s="3"/>
    </row>
    <row r="101" ht="15.75" customHeight="1">
      <c r="A101" s="4"/>
      <c r="B101" s="5"/>
      <c r="C101" s="3"/>
      <c r="D101" s="3"/>
    </row>
    <row r="102" ht="15.75" customHeight="1">
      <c r="A102" s="4"/>
      <c r="B102" s="5"/>
      <c r="C102" s="3"/>
      <c r="D102" s="3"/>
    </row>
    <row r="103" ht="46.5" customHeight="1">
      <c r="A103" s="26" t="s">
        <v>22</v>
      </c>
      <c r="B103" s="27" t="s">
        <v>18</v>
      </c>
      <c r="C103" s="3"/>
      <c r="D103" s="3"/>
    </row>
    <row r="104" ht="31.5" customHeight="1">
      <c r="A104" s="28" t="str">
        <f>'DETAILED ESTIMATE'!B109</f>
        <v>FALSE CEILING WORK</v>
      </c>
      <c r="B104" s="29" t="str">
        <f>'DETAILED ESTIMATE'!J126</f>
        <v>₹ 77,378</v>
      </c>
      <c r="C104" s="3"/>
      <c r="D104" s="3"/>
    </row>
    <row r="105" ht="31.5" customHeight="1">
      <c r="A105" s="28" t="str">
        <f>'DETAILED ESTIMATE'!B128</f>
        <v>PAINTING &amp; WALL FINISHES</v>
      </c>
      <c r="B105" s="29" t="str">
        <f>'DETAILED ESTIMATE'!J144</f>
        <v>₹ 122,000</v>
      </c>
      <c r="C105" s="3"/>
      <c r="D105" s="3"/>
    </row>
    <row r="106" ht="31.5" customHeight="1">
      <c r="A106" s="28" t="str">
        <f>'DETAILED ESTIMATE'!B146</f>
        <v>ELECTRICAL WORK</v>
      </c>
      <c r="B106" s="29" t="str">
        <f>'DETAILED ESTIMATE'!J159</f>
        <v>₹ 92,900</v>
      </c>
      <c r="C106" s="3"/>
      <c r="D106" s="3"/>
    </row>
    <row r="107" ht="31.5" customHeight="1">
      <c r="A107" s="28" t="str">
        <f>'DETAILED ESTIMATE'!B161</f>
        <v>AIR- CONDITIONING WORK</v>
      </c>
      <c r="B107" s="29" t="str">
        <f>'DETAILED ESTIMATE'!J166</f>
        <v>₹ 0</v>
      </c>
      <c r="C107" s="3"/>
      <c r="D107" s="3"/>
    </row>
    <row r="108" ht="31.5" customHeight="1">
      <c r="A108" s="28" t="str">
        <f>'DETAILED ESTIMATE'!B168</f>
        <v>PLUMBING WORK</v>
      </c>
      <c r="B108" s="29" t="str">
        <f>'DETAILED ESTIMATE'!J174</f>
        <v>₹ 35,000</v>
      </c>
      <c r="C108" s="3"/>
      <c r="D108" s="3"/>
    </row>
    <row r="109" ht="31.5" customHeight="1">
      <c r="A109" s="30" t="str">
        <f>'DETAILED ESTIMATE'!B176</f>
        <v>CIVIL WORK</v>
      </c>
      <c r="B109" s="31" t="str">
        <f>'DETAILED ESTIMATE'!J189</f>
        <v>₹ 74,800</v>
      </c>
      <c r="C109" s="3"/>
      <c r="D109" s="3"/>
    </row>
    <row r="110" ht="31.5" customHeight="1">
      <c r="A110" s="28" t="str">
        <f>'DETAILED ESTIMATE'!B191</f>
        <v>FABRICATION  WORK</v>
      </c>
      <c r="B110" s="29" t="str">
        <f>'DETAILED ESTIMATE'!J201</f>
        <v>₹ 0</v>
      </c>
      <c r="C110" s="3"/>
      <c r="D110" s="3"/>
    </row>
    <row r="111" ht="31.5" customHeight="1">
      <c r="A111" s="28" t="str">
        <f>'DETAILED ESTIMATE'!B203</f>
        <v>FABRICS AND STICHING</v>
      </c>
      <c r="B111" s="29" t="str">
        <f>'DETAILED ESTIMATE'!J217</f>
        <v>₹ 90,900</v>
      </c>
      <c r="C111" s="3"/>
      <c r="D111" s="3"/>
    </row>
    <row r="112" ht="31.5" customHeight="1">
      <c r="A112" s="28" t="str">
        <f>'DETAILED ESTIMATE'!B219</f>
        <v>BOUGHT OUT ITEMS (subject to selection)</v>
      </c>
      <c r="B112" s="29" t="str">
        <f>'DETAILED ESTIMATE'!J232</f>
        <v>₹ 227,000</v>
      </c>
      <c r="C112" s="3"/>
      <c r="D112" s="3"/>
    </row>
    <row r="113" ht="31.5" customHeight="1">
      <c r="A113" s="28" t="str">
        <f>'DETAILED ESTIMATE'!B234</f>
        <v>MISCELLANEOUS ITEMS (subject to selection)</v>
      </c>
      <c r="B113" s="29" t="str">
        <f>'DETAILED ESTIMATE'!J246</f>
        <v>₹ 8,000</v>
      </c>
      <c r="C113" s="3"/>
      <c r="D113" s="3"/>
    </row>
    <row r="114" ht="31.5" customHeight="1">
      <c r="A114" s="32" t="s">
        <v>23</v>
      </c>
      <c r="B114" s="11"/>
      <c r="C114" s="3"/>
      <c r="D114" s="3"/>
    </row>
    <row r="115" ht="31.5" customHeight="1">
      <c r="A115" s="24" t="s">
        <v>24</v>
      </c>
      <c r="B115" s="34" t="str">
        <f>SUM(B104:B113)</f>
        <v>₹ 727,978</v>
      </c>
      <c r="C115" s="3"/>
      <c r="D115" s="3"/>
    </row>
    <row r="116" ht="31.5" customHeight="1">
      <c r="A116" s="23"/>
      <c r="B116" s="11"/>
      <c r="C116" s="3"/>
      <c r="D116" s="3"/>
    </row>
    <row r="117" ht="31.5" customHeight="1">
      <c r="A117" s="22" t="s">
        <v>25</v>
      </c>
      <c r="B117" s="11"/>
      <c r="C117" s="3"/>
      <c r="D117" s="3"/>
    </row>
    <row r="118" ht="31.5" customHeight="1">
      <c r="A118" s="35" t="s">
        <v>26</v>
      </c>
      <c r="B118" s="29" t="str">
        <f>B71</f>
        <v>₹ 1,307,020</v>
      </c>
      <c r="C118" s="3"/>
      <c r="D118" s="3"/>
    </row>
    <row r="119" ht="31.5" customHeight="1">
      <c r="A119" s="36" t="s">
        <v>27</v>
      </c>
      <c r="B119" s="37" t="str">
        <f>B115</f>
        <v>₹ 727,978</v>
      </c>
      <c r="C119" s="3"/>
      <c r="D119" s="3"/>
    </row>
    <row r="120" ht="31.5" customHeight="1">
      <c r="A120" s="38" t="s">
        <v>28</v>
      </c>
      <c r="B120" s="39" t="str">
        <f>B118+B119</f>
        <v>₹ 2,034,998</v>
      </c>
      <c r="C120" s="3"/>
      <c r="D120" s="3"/>
    </row>
    <row r="121" ht="31.5" customHeight="1">
      <c r="A121" s="40" t="s">
        <v>29</v>
      </c>
      <c r="B121" s="41" t="str">
        <f>5%*B120</f>
        <v>₹ 101,750</v>
      </c>
      <c r="C121" s="3"/>
      <c r="D121" s="3"/>
    </row>
    <row r="122" ht="31.5" customHeight="1">
      <c r="A122" s="35" t="s">
        <v>30</v>
      </c>
      <c r="B122" s="42" t="str">
        <f>B121+B120</f>
        <v>₹ 2,136,748</v>
      </c>
      <c r="C122" s="3"/>
      <c r="D122" s="3"/>
    </row>
    <row r="123" ht="31.5" customHeight="1">
      <c r="A123" s="22" t="s">
        <v>31</v>
      </c>
      <c r="B123" s="11"/>
      <c r="C123" s="3"/>
      <c r="D123" s="3"/>
    </row>
    <row r="124" ht="31.5" customHeight="1">
      <c r="A124" s="35" t="s">
        <v>32</v>
      </c>
      <c r="B124" s="43" t="str">
        <f>'INTERIOR FEES'!C9</f>
        <v/>
      </c>
      <c r="C124" s="3"/>
      <c r="D124" s="3"/>
    </row>
    <row r="125" ht="31.5" customHeight="1">
      <c r="A125" s="35" t="s">
        <v>33</v>
      </c>
      <c r="B125" s="44" t="str">
        <f>'INTERIOR FEES'!E23</f>
        <v>₹ 225,000</v>
      </c>
      <c r="C125" s="3"/>
      <c r="D125" s="3"/>
    </row>
    <row r="126" ht="31.5" customHeight="1">
      <c r="A126" s="22" t="s">
        <v>34</v>
      </c>
      <c r="B126" s="11"/>
      <c r="C126" s="3"/>
      <c r="D126" s="3"/>
    </row>
    <row r="127" ht="60.75" customHeight="1">
      <c r="A127" s="45" t="s">
        <v>35</v>
      </c>
      <c r="B127" s="46" t="str">
        <f>B122+B125</f>
        <v>₹ 2,361,748</v>
      </c>
      <c r="C127" s="47"/>
      <c r="D127" s="47"/>
    </row>
    <row r="128" ht="15.75" customHeight="1">
      <c r="A128" s="3"/>
      <c r="B128" s="48"/>
      <c r="C128" s="3"/>
      <c r="D128" s="3"/>
    </row>
  </sheetData>
  <mergeCells count="17">
    <mergeCell ref="A117:B117"/>
    <mergeCell ref="A123:B123"/>
    <mergeCell ref="A126:B126"/>
    <mergeCell ref="A114:B114"/>
    <mergeCell ref="A116:B116"/>
    <mergeCell ref="A31:B60"/>
    <mergeCell ref="A70:B70"/>
    <mergeCell ref="A72:B73"/>
    <mergeCell ref="A74:B74"/>
    <mergeCell ref="A75:B102"/>
    <mergeCell ref="A1:B15"/>
    <mergeCell ref="A16:B16"/>
    <mergeCell ref="A17:B17"/>
    <mergeCell ref="A26:B27"/>
    <mergeCell ref="A28:B28"/>
    <mergeCell ref="A29:B29"/>
    <mergeCell ref="A30:B30"/>
  </mergeCells>
  <dataValidations>
    <dataValidation type="list" allowBlank="1" showErrorMessage="1" sqref="B19">
      <formula1>"2 BHK,3 BHK,4 BHK"</formula1>
    </dataValidation>
    <dataValidation type="list" allowBlank="1" showErrorMessage="1" sqref="B21">
      <formula1>"New,Old"</formula1>
    </dataValidation>
  </dataValidations>
  <printOptions/>
  <pageMargins bottom="0.75" footer="0.0" header="0.0" left="0.25" right="0.25" top="0.75"/>
  <pageSetup fitToHeight="0" paperSize="9" orientation="portrait"/>
  <headerFooter>
    <oddHeader>&amp;L| NESTURA DESIGNS |&amp;R&amp;A</oddHeader>
    <oddFooter>&amp;L&amp;D&amp;R&amp;P</oddFooter>
  </headerFooter>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3.0" topLeftCell="A4" activePane="bottomLeft" state="frozen"/>
      <selection activeCell="B5" sqref="B5" pane="bottomLeft"/>
    </sheetView>
  </sheetViews>
  <sheetFormatPr customHeight="1" defaultColWidth="14.43" defaultRowHeight="15.0"/>
  <cols>
    <col customWidth="1" min="1" max="1" width="23.29"/>
    <col customWidth="1" min="2" max="2" width="75.86"/>
    <col customWidth="1" min="3" max="3" width="122.43"/>
    <col customWidth="1" min="4" max="5" width="21.86"/>
    <col customWidth="1" min="6" max="6" width="12.43"/>
    <col customWidth="1" min="7" max="7" width="23.86"/>
    <col customWidth="1" min="8" max="8" width="38.43"/>
    <col customWidth="1" min="9" max="9" width="27.71"/>
    <col customWidth="1" min="10" max="10" width="36.86"/>
    <col customWidth="1" min="11" max="11" width="12.57"/>
  </cols>
  <sheetData>
    <row r="1">
      <c r="A1" s="49" t="s">
        <v>36</v>
      </c>
      <c r="B1" s="50"/>
      <c r="C1" s="50"/>
      <c r="D1" s="50"/>
      <c r="E1" s="50"/>
      <c r="F1" s="50"/>
      <c r="G1" s="50"/>
      <c r="H1" s="50"/>
      <c r="I1" s="50"/>
      <c r="J1" s="50"/>
    </row>
    <row r="2">
      <c r="A2" s="51" t="s">
        <v>37</v>
      </c>
      <c r="B2" s="50"/>
      <c r="C2" s="50"/>
      <c r="D2" s="50"/>
      <c r="E2" s="50"/>
      <c r="F2" s="50"/>
      <c r="G2" s="50"/>
      <c r="H2" s="50"/>
      <c r="I2" s="50"/>
      <c r="J2" s="52"/>
    </row>
    <row r="3">
      <c r="A3" s="53" t="s">
        <v>38</v>
      </c>
      <c r="B3" s="53" t="s">
        <v>39</v>
      </c>
      <c r="C3" s="53" t="s">
        <v>40</v>
      </c>
      <c r="D3" s="53" t="s">
        <v>41</v>
      </c>
      <c r="E3" s="53" t="s">
        <v>42</v>
      </c>
      <c r="F3" s="53" t="s">
        <v>43</v>
      </c>
      <c r="G3" s="53" t="s">
        <v>44</v>
      </c>
      <c r="H3" s="53" t="s">
        <v>45</v>
      </c>
      <c r="I3" s="54" t="s">
        <v>46</v>
      </c>
      <c r="J3" s="54" t="s">
        <v>47</v>
      </c>
    </row>
    <row r="4">
      <c r="A4" s="55" t="s">
        <v>48</v>
      </c>
      <c r="B4" s="56" t="s">
        <v>49</v>
      </c>
      <c r="C4" s="50"/>
      <c r="D4" s="50"/>
      <c r="E4" s="50"/>
      <c r="F4" s="50"/>
      <c r="G4" s="50"/>
      <c r="H4" s="50"/>
      <c r="I4" s="50"/>
      <c r="J4" s="52"/>
    </row>
    <row r="5">
      <c r="A5" s="57"/>
      <c r="B5" s="50"/>
      <c r="C5" s="50"/>
      <c r="D5" s="50"/>
      <c r="E5" s="50"/>
      <c r="F5" s="50"/>
      <c r="G5" s="50"/>
      <c r="H5" s="50"/>
      <c r="I5" s="50"/>
      <c r="J5" s="52"/>
    </row>
    <row r="6">
      <c r="A6" s="58">
        <v>1.0</v>
      </c>
      <c r="B6" s="59" t="s">
        <v>50</v>
      </c>
      <c r="C6" s="59" t="s">
        <v>51</v>
      </c>
      <c r="D6" s="60">
        <v>7.5</v>
      </c>
      <c r="E6" s="60">
        <v>3.0</v>
      </c>
      <c r="F6" s="60">
        <v>1.0</v>
      </c>
      <c r="G6" s="60" t="str">
        <f t="shared" ref="G6:G7" si="1">F6*E6*D6</f>
        <v>22.5</v>
      </c>
      <c r="H6" s="60" t="s">
        <v>52</v>
      </c>
      <c r="I6" s="61">
        <v>1850.0</v>
      </c>
      <c r="J6" s="62" t="s">
        <v>53</v>
      </c>
    </row>
    <row r="7">
      <c r="A7" s="58">
        <v>2.0</v>
      </c>
      <c r="B7" s="59" t="s">
        <v>54</v>
      </c>
      <c r="C7" s="59" t="s">
        <v>55</v>
      </c>
      <c r="D7" s="60">
        <v>7.3</v>
      </c>
      <c r="E7" s="60">
        <v>3.6</v>
      </c>
      <c r="F7" s="60">
        <v>1.0</v>
      </c>
      <c r="G7" s="60" t="str">
        <f t="shared" si="1"/>
        <v>26.28</v>
      </c>
      <c r="H7" s="60" t="s">
        <v>52</v>
      </c>
      <c r="I7" s="61">
        <v>1800.0</v>
      </c>
      <c r="J7" s="62" t="s">
        <v>53</v>
      </c>
    </row>
    <row r="8">
      <c r="A8" s="58">
        <v>3.0</v>
      </c>
      <c r="B8" s="59" t="s">
        <v>56</v>
      </c>
      <c r="C8" s="59" t="s">
        <v>57</v>
      </c>
      <c r="D8" s="60">
        <v>7.0</v>
      </c>
      <c r="E8" s="60">
        <v>9.0</v>
      </c>
      <c r="F8" s="60">
        <v>1.0</v>
      </c>
      <c r="G8" s="60">
        <v>72.0</v>
      </c>
      <c r="H8" s="60" t="s">
        <v>52</v>
      </c>
      <c r="I8" s="61">
        <v>800.0</v>
      </c>
      <c r="J8" s="62" t="s">
        <v>53</v>
      </c>
    </row>
    <row r="9">
      <c r="A9" s="58">
        <v>4.0</v>
      </c>
      <c r="B9" s="59" t="s">
        <v>58</v>
      </c>
      <c r="C9" s="59" t="s">
        <v>59</v>
      </c>
      <c r="D9" s="60">
        <v>4.0</v>
      </c>
      <c r="E9" s="60">
        <v>4.0</v>
      </c>
      <c r="F9" s="60">
        <v>1.0</v>
      </c>
      <c r="G9" s="60" t="str">
        <f t="shared" ref="G9:G11" si="2">F9*E9*D9</f>
        <v>16</v>
      </c>
      <c r="H9" s="60" t="s">
        <v>52</v>
      </c>
      <c r="I9" s="61">
        <v>2200.0</v>
      </c>
      <c r="J9" s="61" t="str">
        <f>I9*G9</f>
        <v>₹ 35,200.00</v>
      </c>
    </row>
    <row r="10">
      <c r="A10" s="58">
        <v>6.0</v>
      </c>
      <c r="B10" s="59" t="s">
        <v>60</v>
      </c>
      <c r="C10" s="59" t="s">
        <v>57</v>
      </c>
      <c r="D10" s="60">
        <v>2.0</v>
      </c>
      <c r="E10" s="60">
        <v>2.0</v>
      </c>
      <c r="F10" s="60">
        <v>1.0</v>
      </c>
      <c r="G10" s="60" t="str">
        <f t="shared" si="2"/>
        <v>4</v>
      </c>
      <c r="H10" s="60" t="s">
        <v>52</v>
      </c>
      <c r="I10" s="61" t="s">
        <v>32</v>
      </c>
      <c r="J10" s="61">
        <v>5000.0</v>
      </c>
    </row>
    <row r="11">
      <c r="A11" s="58">
        <v>6.0</v>
      </c>
      <c r="B11" s="59" t="s">
        <v>61</v>
      </c>
      <c r="C11" s="59" t="s">
        <v>62</v>
      </c>
      <c r="D11" s="60">
        <v>4.5</v>
      </c>
      <c r="E11" s="60">
        <v>6.0</v>
      </c>
      <c r="F11" s="60">
        <v>1.0</v>
      </c>
      <c r="G11" s="60" t="str">
        <f t="shared" si="2"/>
        <v>27</v>
      </c>
      <c r="H11" s="60" t="s">
        <v>52</v>
      </c>
      <c r="I11" s="61">
        <v>800.0</v>
      </c>
      <c r="J11" s="62" t="s">
        <v>53</v>
      </c>
    </row>
    <row r="12">
      <c r="A12" s="63"/>
      <c r="B12" s="50"/>
      <c r="C12" s="50"/>
      <c r="D12" s="50"/>
      <c r="E12" s="50"/>
      <c r="F12" s="50"/>
      <c r="G12" s="50"/>
      <c r="H12" s="50"/>
      <c r="I12" s="50"/>
      <c r="J12" s="52"/>
    </row>
    <row r="13">
      <c r="A13" s="64" t="s">
        <v>63</v>
      </c>
      <c r="B13" s="50"/>
      <c r="C13" s="50"/>
      <c r="D13" s="50"/>
      <c r="E13" s="50"/>
      <c r="F13" s="50"/>
      <c r="G13" s="50"/>
      <c r="H13" s="50"/>
      <c r="I13" s="50"/>
      <c r="J13" s="65" t="str">
        <f>SUM(J6:J10)</f>
        <v>₹ 40,200.00</v>
      </c>
    </row>
    <row r="14">
      <c r="A14" s="66"/>
      <c r="B14" s="50"/>
      <c r="C14" s="50"/>
      <c r="D14" s="50"/>
      <c r="E14" s="50"/>
      <c r="F14" s="50"/>
      <c r="G14" s="50"/>
      <c r="H14" s="50"/>
      <c r="I14" s="50"/>
      <c r="J14" s="52"/>
    </row>
    <row r="15">
      <c r="A15" s="55" t="s">
        <v>64</v>
      </c>
      <c r="B15" s="67" t="s">
        <v>65</v>
      </c>
      <c r="C15" s="50"/>
      <c r="D15" s="50"/>
      <c r="E15" s="50"/>
      <c r="F15" s="50"/>
      <c r="G15" s="50"/>
      <c r="H15" s="50"/>
      <c r="I15" s="50"/>
      <c r="J15" s="52"/>
    </row>
    <row r="16">
      <c r="A16" s="58">
        <v>1.0</v>
      </c>
      <c r="B16" s="59" t="s">
        <v>66</v>
      </c>
      <c r="C16" s="59" t="s">
        <v>67</v>
      </c>
      <c r="D16" s="60">
        <v>5.0</v>
      </c>
      <c r="E16" s="60">
        <v>9.0</v>
      </c>
      <c r="F16" s="60">
        <v>1.0</v>
      </c>
      <c r="G16" s="60" t="str">
        <f t="shared" ref="G16:G24" si="3">F16*E16*D16</f>
        <v>45</v>
      </c>
      <c r="H16" s="60" t="s">
        <v>52</v>
      </c>
      <c r="I16" s="61">
        <v>1000.0</v>
      </c>
      <c r="J16" s="61" t="str">
        <f>I16*G16</f>
        <v>₹ 45,000.00</v>
      </c>
    </row>
    <row r="17">
      <c r="A17" s="58">
        <v>2.0</v>
      </c>
      <c r="B17" s="59" t="s">
        <v>68</v>
      </c>
      <c r="C17" s="59" t="s">
        <v>69</v>
      </c>
      <c r="D17" s="60">
        <v>7.0</v>
      </c>
      <c r="E17" s="60">
        <v>5.0</v>
      </c>
      <c r="F17" s="60">
        <v>1.0</v>
      </c>
      <c r="G17" s="60" t="str">
        <f t="shared" si="3"/>
        <v>35</v>
      </c>
      <c r="H17" s="60" t="s">
        <v>52</v>
      </c>
      <c r="I17" s="61">
        <v>1800.0</v>
      </c>
      <c r="J17" s="62" t="s">
        <v>53</v>
      </c>
    </row>
    <row r="18">
      <c r="A18" s="58">
        <v>3.0</v>
      </c>
      <c r="B18" s="59" t="s">
        <v>70</v>
      </c>
      <c r="C18" s="59" t="s">
        <v>69</v>
      </c>
      <c r="D18" s="60">
        <v>5.0</v>
      </c>
      <c r="E18" s="60">
        <v>1.8</v>
      </c>
      <c r="F18" s="60">
        <v>1.0</v>
      </c>
      <c r="G18" s="60" t="str">
        <f t="shared" si="3"/>
        <v>9</v>
      </c>
      <c r="H18" s="60" t="s">
        <v>52</v>
      </c>
      <c r="I18" s="61">
        <v>1800.0</v>
      </c>
      <c r="J18" s="61" t="str">
        <f t="shared" ref="J18:J19" si="4">I18*G18</f>
        <v>₹ 16,200.00</v>
      </c>
    </row>
    <row r="19">
      <c r="A19" s="58">
        <v>4.0</v>
      </c>
      <c r="B19" s="59" t="s">
        <v>71</v>
      </c>
      <c r="C19" s="68" t="s">
        <v>72</v>
      </c>
      <c r="D19" s="60">
        <v>6.0</v>
      </c>
      <c r="E19" s="60">
        <v>4.0</v>
      </c>
      <c r="F19" s="60">
        <v>1.0</v>
      </c>
      <c r="G19" s="60" t="str">
        <f t="shared" si="3"/>
        <v>24</v>
      </c>
      <c r="H19" s="60" t="s">
        <v>52</v>
      </c>
      <c r="I19" s="61">
        <v>1800.0</v>
      </c>
      <c r="J19" s="61" t="str">
        <f t="shared" si="4"/>
        <v>₹ 43,200.00</v>
      </c>
    </row>
    <row r="20">
      <c r="A20" s="58">
        <v>5.0</v>
      </c>
      <c r="B20" s="59" t="s">
        <v>73</v>
      </c>
      <c r="C20" s="59" t="s">
        <v>74</v>
      </c>
      <c r="D20" s="60">
        <v>4.0</v>
      </c>
      <c r="E20" s="60">
        <v>9.0</v>
      </c>
      <c r="F20" s="60">
        <v>1.0</v>
      </c>
      <c r="G20" s="60" t="str">
        <f t="shared" si="3"/>
        <v>36</v>
      </c>
      <c r="H20" s="60" t="s">
        <v>52</v>
      </c>
      <c r="I20" s="61">
        <v>900.0</v>
      </c>
      <c r="J20" s="62" t="s">
        <v>53</v>
      </c>
    </row>
    <row r="21" ht="15.75" customHeight="1">
      <c r="A21" s="58">
        <v>5.0</v>
      </c>
      <c r="B21" s="59" t="s">
        <v>73</v>
      </c>
      <c r="C21" s="59" t="s">
        <v>75</v>
      </c>
      <c r="D21" s="60">
        <v>3.0</v>
      </c>
      <c r="E21" s="60">
        <v>7.0</v>
      </c>
      <c r="F21" s="60">
        <v>1.0</v>
      </c>
      <c r="G21" s="60" t="str">
        <f t="shared" si="3"/>
        <v>21</v>
      </c>
      <c r="H21" s="60" t="s">
        <v>52</v>
      </c>
      <c r="I21" s="61">
        <v>800.0</v>
      </c>
      <c r="J21" s="61" t="str">
        <f>I21*G21</f>
        <v>₹ 16,800.00</v>
      </c>
    </row>
    <row r="22" ht="15.75" customHeight="1">
      <c r="A22" s="58">
        <v>6.0</v>
      </c>
      <c r="B22" s="59" t="s">
        <v>76</v>
      </c>
      <c r="C22" s="59" t="s">
        <v>77</v>
      </c>
      <c r="D22" s="60">
        <v>2.0</v>
      </c>
      <c r="E22" s="60">
        <v>18.6</v>
      </c>
      <c r="F22" s="60">
        <v>1.0</v>
      </c>
      <c r="G22" s="60" t="str">
        <f t="shared" si="3"/>
        <v>37.2</v>
      </c>
      <c r="H22" s="60" t="s">
        <v>52</v>
      </c>
      <c r="I22" s="61">
        <v>900.0</v>
      </c>
      <c r="J22" s="62" t="s">
        <v>53</v>
      </c>
    </row>
    <row r="23" ht="15.75" customHeight="1">
      <c r="A23" s="58">
        <v>7.0</v>
      </c>
      <c r="B23" s="59" t="s">
        <v>78</v>
      </c>
      <c r="C23" s="59" t="s">
        <v>79</v>
      </c>
      <c r="D23" s="60">
        <v>2.0</v>
      </c>
      <c r="E23" s="60">
        <v>5.0</v>
      </c>
      <c r="F23" s="60">
        <v>1.0</v>
      </c>
      <c r="G23" s="60" t="str">
        <f t="shared" si="3"/>
        <v>10</v>
      </c>
      <c r="H23" s="60" t="s">
        <v>52</v>
      </c>
      <c r="I23" s="61">
        <v>1800.0</v>
      </c>
      <c r="J23" s="62" t="s">
        <v>53</v>
      </c>
    </row>
    <row r="24" ht="15.75" customHeight="1">
      <c r="A24" s="58">
        <v>8.0</v>
      </c>
      <c r="B24" s="59" t="s">
        <v>80</v>
      </c>
      <c r="C24" s="59" t="s">
        <v>81</v>
      </c>
      <c r="D24" s="60">
        <v>3.0</v>
      </c>
      <c r="E24" s="60">
        <v>4.0</v>
      </c>
      <c r="F24" s="60">
        <v>1.0</v>
      </c>
      <c r="G24" s="60" t="str">
        <f t="shared" si="3"/>
        <v>12</v>
      </c>
      <c r="H24" s="60" t="s">
        <v>52</v>
      </c>
      <c r="I24" s="61">
        <v>2100.0</v>
      </c>
      <c r="J24" s="61" t="str">
        <f>I24*G24</f>
        <v>₹ 25,200.00</v>
      </c>
    </row>
    <row r="25" ht="15.75" customHeight="1">
      <c r="A25" s="66"/>
      <c r="B25" s="50"/>
      <c r="C25" s="50"/>
      <c r="D25" s="50"/>
      <c r="E25" s="50"/>
      <c r="F25" s="50"/>
      <c r="G25" s="50"/>
      <c r="H25" s="50"/>
      <c r="I25" s="50"/>
      <c r="J25" s="52"/>
    </row>
    <row r="26" ht="15.75" customHeight="1">
      <c r="A26" s="64" t="s">
        <v>82</v>
      </c>
      <c r="B26" s="50"/>
      <c r="C26" s="50"/>
      <c r="D26" s="50"/>
      <c r="E26" s="50"/>
      <c r="F26" s="50"/>
      <c r="G26" s="50"/>
      <c r="H26" s="50"/>
      <c r="I26" s="50"/>
      <c r="J26" s="65" t="str">
        <f>SUM(J16:J23)</f>
        <v>₹ 121,200.00</v>
      </c>
    </row>
    <row r="27" ht="15.75" customHeight="1">
      <c r="A27" s="66"/>
      <c r="B27" s="50"/>
      <c r="C27" s="50"/>
      <c r="D27" s="50"/>
      <c r="E27" s="50"/>
      <c r="F27" s="50"/>
      <c r="G27" s="50"/>
      <c r="H27" s="50"/>
      <c r="I27" s="50"/>
      <c r="J27" s="52"/>
    </row>
    <row r="28" ht="15.75" customHeight="1">
      <c r="A28" s="55" t="s">
        <v>83</v>
      </c>
      <c r="B28" s="67" t="s">
        <v>84</v>
      </c>
      <c r="C28" s="50"/>
      <c r="D28" s="50"/>
      <c r="E28" s="50"/>
      <c r="F28" s="50"/>
      <c r="G28" s="50"/>
      <c r="H28" s="50"/>
      <c r="I28" s="50"/>
      <c r="J28" s="52"/>
    </row>
    <row r="29" ht="15.75" customHeight="1">
      <c r="A29" s="58">
        <v>1.0</v>
      </c>
      <c r="B29" s="59" t="s">
        <v>73</v>
      </c>
      <c r="C29" s="59" t="s">
        <v>85</v>
      </c>
      <c r="D29" s="60">
        <v>5.0</v>
      </c>
      <c r="E29" s="60">
        <v>9.0</v>
      </c>
      <c r="F29" s="60">
        <v>1.0</v>
      </c>
      <c r="G29" s="60" t="str">
        <f t="shared" ref="G29:G31" si="5">F29*E29*D29</f>
        <v>45</v>
      </c>
      <c r="H29" s="60" t="s">
        <v>52</v>
      </c>
      <c r="I29" s="61">
        <v>900.0</v>
      </c>
      <c r="J29" s="61" t="str">
        <f>I29*G29</f>
        <v>₹ 40,500.00</v>
      </c>
    </row>
    <row r="30" ht="15.75" customHeight="1">
      <c r="A30" s="58">
        <v>2.0</v>
      </c>
      <c r="B30" s="59" t="s">
        <v>86</v>
      </c>
      <c r="C30" s="59" t="s">
        <v>87</v>
      </c>
      <c r="D30" s="60">
        <v>2.0</v>
      </c>
      <c r="E30" s="60">
        <v>5.0</v>
      </c>
      <c r="F30" s="60">
        <v>1.0</v>
      </c>
      <c r="G30" s="60" t="str">
        <f t="shared" si="5"/>
        <v>10</v>
      </c>
      <c r="H30" s="60" t="s">
        <v>52</v>
      </c>
      <c r="I30" s="61">
        <v>2100.0</v>
      </c>
      <c r="J30" s="62" t="s">
        <v>53</v>
      </c>
    </row>
    <row r="31" ht="15.75" customHeight="1">
      <c r="A31" s="58">
        <v>3.0</v>
      </c>
      <c r="B31" s="59" t="s">
        <v>88</v>
      </c>
      <c r="C31" s="59" t="s">
        <v>89</v>
      </c>
      <c r="D31" s="60">
        <v>1.0</v>
      </c>
      <c r="E31" s="60">
        <v>7.0</v>
      </c>
      <c r="F31" s="60">
        <v>1.0</v>
      </c>
      <c r="G31" s="60" t="str">
        <f t="shared" si="5"/>
        <v>7</v>
      </c>
      <c r="H31" s="60" t="s">
        <v>52</v>
      </c>
      <c r="I31" s="61">
        <v>1800.0</v>
      </c>
      <c r="J31" s="62" t="s">
        <v>53</v>
      </c>
    </row>
    <row r="32" ht="15.75" customHeight="1">
      <c r="A32" s="58">
        <v>4.0</v>
      </c>
      <c r="B32" s="59" t="s">
        <v>90</v>
      </c>
      <c r="C32" s="59" t="s">
        <v>91</v>
      </c>
      <c r="D32" s="69"/>
      <c r="E32" s="69"/>
      <c r="F32" s="69"/>
      <c r="G32" s="60">
        <v>1.0</v>
      </c>
      <c r="H32" s="60" t="s">
        <v>52</v>
      </c>
      <c r="I32" s="61">
        <v>15000.0</v>
      </c>
      <c r="J32" s="62" t="s">
        <v>53</v>
      </c>
    </row>
    <row r="33" ht="15.75" customHeight="1">
      <c r="A33" s="66"/>
      <c r="B33" s="50"/>
      <c r="C33" s="50"/>
      <c r="D33" s="50"/>
      <c r="E33" s="50"/>
      <c r="F33" s="50"/>
      <c r="G33" s="50"/>
      <c r="H33" s="50"/>
      <c r="I33" s="50"/>
      <c r="J33" s="52"/>
    </row>
    <row r="34" ht="15.75" customHeight="1">
      <c r="A34" s="64" t="s">
        <v>92</v>
      </c>
      <c r="B34" s="50"/>
      <c r="C34" s="50"/>
      <c r="D34" s="50"/>
      <c r="E34" s="50"/>
      <c r="F34" s="50"/>
      <c r="G34" s="50"/>
      <c r="H34" s="50"/>
      <c r="I34" s="50"/>
      <c r="J34" s="65" t="str">
        <f>SUM(J29:J32)</f>
        <v>₹ 40,500.00</v>
      </c>
    </row>
    <row r="35" ht="15.75" customHeight="1">
      <c r="A35" s="66"/>
      <c r="B35" s="50"/>
      <c r="C35" s="50"/>
      <c r="D35" s="50"/>
      <c r="E35" s="50"/>
      <c r="F35" s="50"/>
      <c r="G35" s="50"/>
      <c r="H35" s="50"/>
      <c r="I35" s="50"/>
      <c r="J35" s="52"/>
    </row>
    <row r="36" ht="15.75" customHeight="1">
      <c r="A36" s="55" t="s">
        <v>93</v>
      </c>
      <c r="B36" s="70" t="s">
        <v>94</v>
      </c>
      <c r="C36" s="50"/>
      <c r="D36" s="50"/>
      <c r="E36" s="50"/>
      <c r="F36" s="50"/>
      <c r="G36" s="50"/>
      <c r="H36" s="50"/>
      <c r="I36" s="50"/>
      <c r="J36" s="52"/>
    </row>
    <row r="37" ht="15.75" customHeight="1">
      <c r="A37" s="66"/>
      <c r="B37" s="50"/>
      <c r="C37" s="50"/>
      <c r="D37" s="50"/>
      <c r="E37" s="50"/>
      <c r="F37" s="50"/>
      <c r="G37" s="50"/>
      <c r="H37" s="50"/>
      <c r="I37" s="50"/>
      <c r="J37" s="52"/>
    </row>
    <row r="38" ht="15.75" customHeight="1">
      <c r="A38" s="58">
        <v>1.0</v>
      </c>
      <c r="B38" s="59" t="s">
        <v>95</v>
      </c>
      <c r="C38" s="59" t="s">
        <v>96</v>
      </c>
      <c r="D38" s="60">
        <v>12.0</v>
      </c>
      <c r="E38" s="60">
        <v>3.0</v>
      </c>
      <c r="F38" s="60">
        <v>1.0</v>
      </c>
      <c r="G38" s="60" t="str">
        <f t="shared" ref="G38:G47" si="6">F38*E38*D38</f>
        <v>36</v>
      </c>
      <c r="H38" s="60" t="s">
        <v>52</v>
      </c>
      <c r="I38" s="61">
        <v>6000.0</v>
      </c>
      <c r="J38" s="61" t="str">
        <f t="shared" ref="J38:J42" si="7">I38*G38</f>
        <v>₹ 216,000.00</v>
      </c>
    </row>
    <row r="39" ht="15.75" customHeight="1">
      <c r="A39" s="58">
        <v>1.0</v>
      </c>
      <c r="B39" s="59" t="s">
        <v>97</v>
      </c>
      <c r="C39" s="59" t="s">
        <v>98</v>
      </c>
      <c r="D39" s="60">
        <v>6.0</v>
      </c>
      <c r="E39" s="60">
        <v>3.0</v>
      </c>
      <c r="F39" s="60">
        <v>1.0</v>
      </c>
      <c r="G39" s="60" t="str">
        <f t="shared" si="6"/>
        <v>18</v>
      </c>
      <c r="H39" s="60" t="s">
        <v>52</v>
      </c>
      <c r="I39" s="61">
        <v>3500.0</v>
      </c>
      <c r="J39" s="61" t="str">
        <f t="shared" si="7"/>
        <v>₹ 63,000.00</v>
      </c>
    </row>
    <row r="40" ht="15.75" customHeight="1">
      <c r="A40" s="58">
        <v>2.0</v>
      </c>
      <c r="B40" s="59" t="s">
        <v>99</v>
      </c>
      <c r="C40" s="59" t="s">
        <v>100</v>
      </c>
      <c r="D40" s="60">
        <v>18.0</v>
      </c>
      <c r="E40" s="60">
        <v>2.0</v>
      </c>
      <c r="F40" s="60">
        <v>1.0</v>
      </c>
      <c r="G40" s="60" t="str">
        <f t="shared" si="6"/>
        <v>36</v>
      </c>
      <c r="H40" s="60" t="s">
        <v>52</v>
      </c>
      <c r="I40" s="61">
        <v>2100.0</v>
      </c>
      <c r="J40" s="61" t="str">
        <f t="shared" si="7"/>
        <v>₹ 75,600.00</v>
      </c>
    </row>
    <row r="41" ht="15.75" customHeight="1">
      <c r="A41" s="58">
        <v>3.0</v>
      </c>
      <c r="B41" s="59" t="s">
        <v>101</v>
      </c>
      <c r="C41" s="59" t="s">
        <v>102</v>
      </c>
      <c r="D41" s="60">
        <v>18.0</v>
      </c>
      <c r="E41" s="60">
        <v>2.0</v>
      </c>
      <c r="F41" s="60">
        <v>1.0</v>
      </c>
      <c r="G41" s="60" t="str">
        <f t="shared" si="6"/>
        <v>36</v>
      </c>
      <c r="H41" s="60" t="s">
        <v>52</v>
      </c>
      <c r="I41" s="61">
        <v>1800.0</v>
      </c>
      <c r="J41" s="61" t="str">
        <f t="shared" si="7"/>
        <v>₹ 64,800.00</v>
      </c>
    </row>
    <row r="42" ht="15.75" customHeight="1">
      <c r="A42" s="58">
        <v>4.0</v>
      </c>
      <c r="B42" s="59" t="s">
        <v>103</v>
      </c>
      <c r="C42" s="59" t="s">
        <v>104</v>
      </c>
      <c r="D42" s="60">
        <v>2.0</v>
      </c>
      <c r="E42" s="60">
        <v>5.0</v>
      </c>
      <c r="F42" s="60">
        <v>1.0</v>
      </c>
      <c r="G42" s="60" t="str">
        <f t="shared" si="6"/>
        <v>10</v>
      </c>
      <c r="H42" s="60" t="s">
        <v>52</v>
      </c>
      <c r="I42" s="61">
        <v>3500.0</v>
      </c>
      <c r="J42" s="61" t="str">
        <f t="shared" si="7"/>
        <v>₹ 35,000.00</v>
      </c>
    </row>
    <row r="43" ht="15.75" customHeight="1">
      <c r="A43" s="58">
        <v>5.0</v>
      </c>
      <c r="B43" s="59" t="s">
        <v>105</v>
      </c>
      <c r="C43" s="59" t="s">
        <v>104</v>
      </c>
      <c r="D43" s="60">
        <v>4.0</v>
      </c>
      <c r="E43" s="60">
        <v>4.0</v>
      </c>
      <c r="F43" s="60">
        <v>1.0</v>
      </c>
      <c r="G43" s="60" t="str">
        <f t="shared" si="6"/>
        <v>16</v>
      </c>
      <c r="H43" s="60" t="s">
        <v>52</v>
      </c>
      <c r="I43" s="61">
        <v>2200.0</v>
      </c>
      <c r="J43" s="62" t="s">
        <v>53</v>
      </c>
    </row>
    <row r="44" ht="15.75" customHeight="1">
      <c r="A44" s="58">
        <v>5.0</v>
      </c>
      <c r="B44" s="59" t="s">
        <v>106</v>
      </c>
      <c r="C44" s="59" t="s">
        <v>104</v>
      </c>
      <c r="D44" s="60">
        <v>1.5</v>
      </c>
      <c r="E44" s="60">
        <v>7.0</v>
      </c>
      <c r="F44" s="60">
        <v>1.0</v>
      </c>
      <c r="G44" s="60" t="str">
        <f t="shared" si="6"/>
        <v>10.5</v>
      </c>
      <c r="H44" s="60" t="s">
        <v>52</v>
      </c>
      <c r="I44" s="61">
        <v>4500.0</v>
      </c>
      <c r="J44" s="62" t="s">
        <v>53</v>
      </c>
    </row>
    <row r="45" ht="15.75" customHeight="1">
      <c r="A45" s="58">
        <v>6.0</v>
      </c>
      <c r="B45" s="59" t="s">
        <v>107</v>
      </c>
      <c r="C45" s="59" t="s">
        <v>108</v>
      </c>
      <c r="D45" s="60">
        <v>3.0</v>
      </c>
      <c r="E45" s="60">
        <v>3.0</v>
      </c>
      <c r="F45" s="60">
        <v>2.0</v>
      </c>
      <c r="G45" s="60" t="str">
        <f t="shared" si="6"/>
        <v>18</v>
      </c>
      <c r="H45" s="60" t="s">
        <v>52</v>
      </c>
      <c r="I45" s="61">
        <v>1800.0</v>
      </c>
      <c r="J45" s="61" t="str">
        <f>I45*G45</f>
        <v>₹ 32,400.00</v>
      </c>
    </row>
    <row r="46" ht="15.75" customHeight="1">
      <c r="A46" s="58">
        <v>7.0</v>
      </c>
      <c r="B46" s="59" t="s">
        <v>109</v>
      </c>
      <c r="C46" s="59" t="s">
        <v>110</v>
      </c>
      <c r="D46" s="60">
        <v>7.0</v>
      </c>
      <c r="E46" s="60">
        <v>4.0</v>
      </c>
      <c r="F46" s="60">
        <v>1.0</v>
      </c>
      <c r="G46" s="60" t="str">
        <f t="shared" si="6"/>
        <v>28</v>
      </c>
      <c r="H46" s="60" t="s">
        <v>52</v>
      </c>
      <c r="I46" s="61">
        <v>1800.0</v>
      </c>
      <c r="J46" s="62" t="s">
        <v>53</v>
      </c>
    </row>
    <row r="47" ht="15.75" customHeight="1">
      <c r="A47" s="58">
        <v>8.0</v>
      </c>
      <c r="B47" s="59" t="s">
        <v>111</v>
      </c>
      <c r="C47" s="59" t="s">
        <v>112</v>
      </c>
      <c r="D47" s="60">
        <v>7.0</v>
      </c>
      <c r="E47" s="60">
        <v>3.0</v>
      </c>
      <c r="F47" s="60">
        <v>1.0</v>
      </c>
      <c r="G47" s="60" t="str">
        <f t="shared" si="6"/>
        <v>21</v>
      </c>
      <c r="H47" s="60" t="s">
        <v>52</v>
      </c>
      <c r="I47" s="61">
        <v>1300.0</v>
      </c>
      <c r="J47" s="62" t="s">
        <v>53</v>
      </c>
    </row>
    <row r="48" ht="15.75" customHeight="1">
      <c r="A48" s="66"/>
      <c r="B48" s="50"/>
      <c r="C48" s="50"/>
      <c r="D48" s="50"/>
      <c r="E48" s="50"/>
      <c r="F48" s="50"/>
      <c r="G48" s="50"/>
      <c r="H48" s="50"/>
      <c r="I48" s="50"/>
      <c r="J48" s="52"/>
    </row>
    <row r="49" ht="15.75" customHeight="1">
      <c r="A49" s="64" t="s">
        <v>113</v>
      </c>
      <c r="B49" s="50"/>
      <c r="C49" s="50"/>
      <c r="D49" s="50"/>
      <c r="E49" s="50"/>
      <c r="F49" s="50"/>
      <c r="G49" s="50"/>
      <c r="H49" s="50"/>
      <c r="I49" s="50"/>
      <c r="J49" s="65" t="str">
        <f>SUM(J38:J47)</f>
        <v>₹ 486,800.00</v>
      </c>
    </row>
    <row r="50" ht="15.75" customHeight="1">
      <c r="A50" s="66"/>
      <c r="B50" s="50"/>
      <c r="C50" s="50"/>
      <c r="D50" s="50"/>
      <c r="E50" s="50"/>
      <c r="F50" s="50"/>
      <c r="G50" s="50"/>
      <c r="H50" s="50"/>
      <c r="I50" s="50"/>
      <c r="J50" s="52"/>
    </row>
    <row r="51" ht="15.75" customHeight="1">
      <c r="A51" s="55" t="s">
        <v>114</v>
      </c>
      <c r="B51" s="70" t="s">
        <v>115</v>
      </c>
      <c r="C51" s="50"/>
      <c r="D51" s="50"/>
      <c r="E51" s="50"/>
      <c r="F51" s="50"/>
      <c r="G51" s="50"/>
      <c r="H51" s="50"/>
      <c r="I51" s="50"/>
      <c r="J51" s="52"/>
    </row>
    <row r="52" ht="15.75" customHeight="1">
      <c r="A52" s="57"/>
      <c r="B52" s="50"/>
      <c r="C52" s="50"/>
      <c r="D52" s="50"/>
      <c r="E52" s="50"/>
      <c r="F52" s="50"/>
      <c r="G52" s="50"/>
      <c r="H52" s="50"/>
      <c r="I52" s="50"/>
      <c r="J52" s="52"/>
    </row>
    <row r="53" ht="15.75" customHeight="1">
      <c r="A53" s="58">
        <v>1.0</v>
      </c>
      <c r="B53" s="59" t="s">
        <v>116</v>
      </c>
      <c r="C53" s="59" t="s">
        <v>117</v>
      </c>
      <c r="D53" s="60">
        <v>5.0</v>
      </c>
      <c r="E53" s="60">
        <v>6.0</v>
      </c>
      <c r="F53" s="60">
        <v>1.0</v>
      </c>
      <c r="G53" s="60" t="str">
        <f t="shared" ref="G53:G56" si="8">F53*E53*D53</f>
        <v>30</v>
      </c>
      <c r="H53" s="60" t="s">
        <v>52</v>
      </c>
      <c r="I53" s="61">
        <v>1450.0</v>
      </c>
      <c r="J53" s="61" t="str">
        <f t="shared" ref="J53:J54" si="9">G53*I53</f>
        <v>₹ 43,500.00</v>
      </c>
    </row>
    <row r="54" ht="15.75" customHeight="1">
      <c r="A54" s="58">
        <v>2.0</v>
      </c>
      <c r="B54" s="59" t="s">
        <v>118</v>
      </c>
      <c r="C54" s="59" t="s">
        <v>119</v>
      </c>
      <c r="D54" s="60">
        <v>3.0</v>
      </c>
      <c r="E54" s="60">
        <v>6.0</v>
      </c>
      <c r="F54" s="60">
        <v>1.0</v>
      </c>
      <c r="G54" s="60" t="str">
        <f t="shared" si="8"/>
        <v>18</v>
      </c>
      <c r="H54" s="60" t="s">
        <v>52</v>
      </c>
      <c r="I54" s="61">
        <v>800.0</v>
      </c>
      <c r="J54" s="61" t="str">
        <f t="shared" si="9"/>
        <v>₹ 14,400.00</v>
      </c>
    </row>
    <row r="55" ht="15.75" customHeight="1">
      <c r="A55" s="58">
        <v>2.0</v>
      </c>
      <c r="B55" s="59" t="s">
        <v>120</v>
      </c>
      <c r="C55" s="59" t="s">
        <v>121</v>
      </c>
      <c r="D55" s="60">
        <v>11.0</v>
      </c>
      <c r="E55" s="60">
        <v>7.0</v>
      </c>
      <c r="F55" s="60">
        <v>1.0</v>
      </c>
      <c r="G55" s="60" t="str">
        <f t="shared" si="8"/>
        <v>77</v>
      </c>
      <c r="H55" s="60" t="s">
        <v>52</v>
      </c>
      <c r="I55" s="61">
        <v>700.0</v>
      </c>
      <c r="J55" s="62" t="s">
        <v>53</v>
      </c>
    </row>
    <row r="56" ht="15.75" customHeight="1">
      <c r="A56" s="58">
        <v>3.0</v>
      </c>
      <c r="B56" s="59" t="s">
        <v>122</v>
      </c>
      <c r="C56" s="59" t="s">
        <v>123</v>
      </c>
      <c r="D56" s="60">
        <v>6.0</v>
      </c>
      <c r="E56" s="60">
        <v>9.5</v>
      </c>
      <c r="F56" s="60">
        <v>1.0</v>
      </c>
      <c r="G56" s="60" t="str">
        <f t="shared" si="8"/>
        <v>57</v>
      </c>
      <c r="H56" s="60" t="s">
        <v>52</v>
      </c>
      <c r="I56" s="61">
        <v>1800.0</v>
      </c>
      <c r="J56" s="61" t="str">
        <f t="shared" ref="J56:J57" si="10">G56*I56</f>
        <v>₹ 102,600.00</v>
      </c>
    </row>
    <row r="57" ht="15.75" customHeight="1">
      <c r="A57" s="58">
        <v>4.0</v>
      </c>
      <c r="B57" s="59" t="s">
        <v>124</v>
      </c>
      <c r="C57" s="59" t="s">
        <v>125</v>
      </c>
      <c r="D57" s="60">
        <v>1.0</v>
      </c>
      <c r="E57" s="60">
        <v>1.6</v>
      </c>
      <c r="F57" s="60">
        <v>2.0</v>
      </c>
      <c r="G57" s="60">
        <v>2.0</v>
      </c>
      <c r="H57" s="60" t="s">
        <v>126</v>
      </c>
      <c r="I57" s="61">
        <v>3500.0</v>
      </c>
      <c r="J57" s="61" t="str">
        <f t="shared" si="10"/>
        <v>₹ 7,000.00</v>
      </c>
    </row>
    <row r="58" ht="15.75" customHeight="1">
      <c r="A58" s="58">
        <v>4.0</v>
      </c>
      <c r="B58" s="59" t="s">
        <v>127</v>
      </c>
      <c r="C58" s="59" t="s">
        <v>128</v>
      </c>
      <c r="D58" s="60">
        <v>5.0</v>
      </c>
      <c r="E58" s="60">
        <v>2.6</v>
      </c>
      <c r="F58" s="60">
        <v>1.0</v>
      </c>
      <c r="G58" s="60" t="str">
        <f t="shared" ref="G58:G66" si="11">F58*E58*D58</f>
        <v>13</v>
      </c>
      <c r="H58" s="60" t="s">
        <v>52</v>
      </c>
      <c r="I58" s="61">
        <v>1800.0</v>
      </c>
      <c r="J58" s="62" t="s">
        <v>53</v>
      </c>
    </row>
    <row r="59" ht="15.75" customHeight="1">
      <c r="A59" s="58">
        <v>5.0</v>
      </c>
      <c r="B59" s="59" t="s">
        <v>68</v>
      </c>
      <c r="C59" s="59" t="s">
        <v>69</v>
      </c>
      <c r="D59" s="60">
        <v>4.0</v>
      </c>
      <c r="E59" s="60">
        <v>4.0</v>
      </c>
      <c r="F59" s="60">
        <v>1.0</v>
      </c>
      <c r="G59" s="60" t="str">
        <f t="shared" si="11"/>
        <v>16</v>
      </c>
      <c r="H59" s="60" t="s">
        <v>52</v>
      </c>
      <c r="I59" s="61">
        <v>1800.0</v>
      </c>
      <c r="J59" s="62" t="s">
        <v>53</v>
      </c>
    </row>
    <row r="60" ht="15.75" customHeight="1">
      <c r="A60" s="58">
        <v>6.0</v>
      </c>
      <c r="B60" s="59" t="s">
        <v>129</v>
      </c>
      <c r="C60" s="59" t="s">
        <v>130</v>
      </c>
      <c r="D60" s="60">
        <v>8.0</v>
      </c>
      <c r="E60" s="60">
        <v>5.0</v>
      </c>
      <c r="F60" s="60">
        <v>1.0</v>
      </c>
      <c r="G60" s="60" t="str">
        <f t="shared" si="11"/>
        <v>40</v>
      </c>
      <c r="H60" s="60" t="s">
        <v>52</v>
      </c>
      <c r="I60" s="61">
        <v>200.0</v>
      </c>
      <c r="J60" s="62" t="s">
        <v>53</v>
      </c>
    </row>
    <row r="61" ht="15.75" customHeight="1">
      <c r="A61" s="58">
        <v>7.0</v>
      </c>
      <c r="B61" s="59" t="s">
        <v>131</v>
      </c>
      <c r="C61" s="59" t="s">
        <v>69</v>
      </c>
      <c r="D61" s="60">
        <v>7.0</v>
      </c>
      <c r="E61" s="60">
        <v>3.0</v>
      </c>
      <c r="F61" s="60">
        <v>1.0</v>
      </c>
      <c r="G61" s="60" t="str">
        <f t="shared" si="11"/>
        <v>21</v>
      </c>
      <c r="H61" s="60" t="s">
        <v>52</v>
      </c>
      <c r="I61" s="61">
        <v>1800.0</v>
      </c>
      <c r="J61" s="62" t="s">
        <v>53</v>
      </c>
    </row>
    <row r="62" ht="15.75" customHeight="1">
      <c r="A62" s="58">
        <v>8.0</v>
      </c>
      <c r="B62" s="59" t="s">
        <v>132</v>
      </c>
      <c r="C62" s="59" t="s">
        <v>133</v>
      </c>
      <c r="D62" s="60">
        <v>6.0</v>
      </c>
      <c r="E62" s="60">
        <v>9.0</v>
      </c>
      <c r="F62" s="60">
        <v>1.0</v>
      </c>
      <c r="G62" s="60" t="str">
        <f t="shared" si="11"/>
        <v>54</v>
      </c>
      <c r="H62" s="60" t="s">
        <v>52</v>
      </c>
      <c r="I62" s="61">
        <v>900.0</v>
      </c>
      <c r="J62" s="62" t="s">
        <v>53</v>
      </c>
    </row>
    <row r="63" ht="15.75" customHeight="1">
      <c r="A63" s="58">
        <v>9.0</v>
      </c>
      <c r="B63" s="59" t="s">
        <v>134</v>
      </c>
      <c r="C63" s="59" t="s">
        <v>135</v>
      </c>
      <c r="D63" s="60">
        <v>4.6</v>
      </c>
      <c r="E63" s="60">
        <v>2.0</v>
      </c>
      <c r="F63" s="60">
        <v>1.0</v>
      </c>
      <c r="G63" s="60" t="str">
        <f t="shared" si="11"/>
        <v>9.2</v>
      </c>
      <c r="H63" s="60" t="s">
        <v>52</v>
      </c>
      <c r="I63" s="61">
        <v>1800.0</v>
      </c>
      <c r="J63" s="62" t="s">
        <v>53</v>
      </c>
    </row>
    <row r="64" ht="15.75" customHeight="1">
      <c r="A64" s="58">
        <v>10.0</v>
      </c>
      <c r="B64" s="59" t="s">
        <v>136</v>
      </c>
      <c r="C64" s="59" t="s">
        <v>137</v>
      </c>
      <c r="D64" s="60">
        <v>7.0</v>
      </c>
      <c r="E64" s="60">
        <v>3.0</v>
      </c>
      <c r="F64" s="60">
        <v>1.0</v>
      </c>
      <c r="G64" s="60" t="str">
        <f t="shared" si="11"/>
        <v>21</v>
      </c>
      <c r="H64" s="60" t="s">
        <v>52</v>
      </c>
      <c r="I64" s="61">
        <v>800.0</v>
      </c>
      <c r="J64" s="62" t="s">
        <v>53</v>
      </c>
    </row>
    <row r="65" ht="15.75" customHeight="1">
      <c r="A65" s="58">
        <v>11.0</v>
      </c>
      <c r="B65" s="59" t="s">
        <v>138</v>
      </c>
      <c r="C65" s="59" t="s">
        <v>139</v>
      </c>
      <c r="D65" s="60">
        <v>7.0</v>
      </c>
      <c r="E65" s="60">
        <v>3.0</v>
      </c>
      <c r="F65" s="60">
        <v>1.0</v>
      </c>
      <c r="G65" s="60" t="str">
        <f t="shared" si="11"/>
        <v>21</v>
      </c>
      <c r="H65" s="60" t="s">
        <v>52</v>
      </c>
      <c r="I65" s="61">
        <v>600.0</v>
      </c>
      <c r="J65" s="62" t="s">
        <v>53</v>
      </c>
    </row>
    <row r="66" ht="15.75" customHeight="1">
      <c r="A66" s="58">
        <v>12.0</v>
      </c>
      <c r="B66" s="59" t="s">
        <v>140</v>
      </c>
      <c r="C66" s="59" t="s">
        <v>141</v>
      </c>
      <c r="D66" s="60">
        <v>2.0</v>
      </c>
      <c r="E66" s="60">
        <v>10.3</v>
      </c>
      <c r="F66" s="60">
        <v>1.0</v>
      </c>
      <c r="G66" s="60" t="str">
        <f t="shared" si="11"/>
        <v>20.6</v>
      </c>
      <c r="H66" s="60" t="s">
        <v>52</v>
      </c>
      <c r="I66" s="61">
        <v>800.0</v>
      </c>
      <c r="J66" s="62" t="s">
        <v>53</v>
      </c>
    </row>
    <row r="67" ht="15.75" customHeight="1">
      <c r="A67" s="66"/>
      <c r="B67" s="50"/>
      <c r="C67" s="50"/>
      <c r="D67" s="50"/>
      <c r="E67" s="50"/>
      <c r="F67" s="50"/>
      <c r="G67" s="50"/>
      <c r="H67" s="50"/>
      <c r="I67" s="50"/>
      <c r="J67" s="52"/>
    </row>
    <row r="68" ht="15.75" customHeight="1">
      <c r="A68" s="64" t="s">
        <v>142</v>
      </c>
      <c r="B68" s="50"/>
      <c r="C68" s="50"/>
      <c r="D68" s="50"/>
      <c r="E68" s="50"/>
      <c r="F68" s="50"/>
      <c r="G68" s="50"/>
      <c r="H68" s="50"/>
      <c r="I68" s="50"/>
      <c r="J68" s="65" t="str">
        <f>SUM(J52:J66)</f>
        <v>₹ 167,500.00</v>
      </c>
    </row>
    <row r="69" ht="15.75" customHeight="1">
      <c r="A69" s="66"/>
      <c r="B69" s="50"/>
      <c r="C69" s="50"/>
      <c r="D69" s="50"/>
      <c r="E69" s="50"/>
      <c r="F69" s="50"/>
      <c r="G69" s="50"/>
      <c r="H69" s="50"/>
      <c r="I69" s="50"/>
      <c r="J69" s="52"/>
    </row>
    <row r="70" ht="15.75" customHeight="1">
      <c r="A70" s="55" t="s">
        <v>143</v>
      </c>
      <c r="B70" s="70" t="s">
        <v>144</v>
      </c>
      <c r="C70" s="50"/>
      <c r="D70" s="50"/>
      <c r="E70" s="50"/>
      <c r="F70" s="50"/>
      <c r="G70" s="50"/>
      <c r="H70" s="50"/>
      <c r="I70" s="50"/>
      <c r="J70" s="52"/>
    </row>
    <row r="71" ht="15.75" customHeight="1">
      <c r="A71" s="57"/>
      <c r="B71" s="50"/>
      <c r="C71" s="50"/>
      <c r="D71" s="50"/>
      <c r="E71" s="50"/>
      <c r="F71" s="50"/>
      <c r="G71" s="50"/>
      <c r="H71" s="50"/>
      <c r="I71" s="50"/>
      <c r="J71" s="52"/>
    </row>
    <row r="72" ht="15.75" customHeight="1">
      <c r="A72" s="58">
        <v>1.0</v>
      </c>
      <c r="B72" s="59" t="s">
        <v>116</v>
      </c>
      <c r="C72" s="59" t="s">
        <v>117</v>
      </c>
      <c r="D72" s="60">
        <v>5.0</v>
      </c>
      <c r="E72" s="60">
        <v>6.0</v>
      </c>
      <c r="F72" s="60">
        <v>1.0</v>
      </c>
      <c r="G72" s="60" t="str">
        <f t="shared" ref="G72:G75" si="12">F72*E72*D72</f>
        <v>30</v>
      </c>
      <c r="H72" s="60" t="s">
        <v>52</v>
      </c>
      <c r="I72" s="61">
        <v>1450.0</v>
      </c>
      <c r="J72" s="61" t="str">
        <f t="shared" ref="J72:J73" si="13">G72*I72</f>
        <v>₹ 43,500.00</v>
      </c>
    </row>
    <row r="73" ht="15.75" customHeight="1">
      <c r="A73" s="58">
        <v>2.0</v>
      </c>
      <c r="B73" s="59" t="s">
        <v>118</v>
      </c>
      <c r="C73" s="59" t="s">
        <v>119</v>
      </c>
      <c r="D73" s="60">
        <v>3.0</v>
      </c>
      <c r="E73" s="60">
        <v>6.0</v>
      </c>
      <c r="F73" s="60">
        <v>1.0</v>
      </c>
      <c r="G73" s="60" t="str">
        <f t="shared" si="12"/>
        <v>18</v>
      </c>
      <c r="H73" s="60" t="s">
        <v>52</v>
      </c>
      <c r="I73" s="61">
        <v>800.0</v>
      </c>
      <c r="J73" s="61" t="str">
        <f t="shared" si="13"/>
        <v>₹ 14,400.00</v>
      </c>
    </row>
    <row r="74" ht="15.75" customHeight="1">
      <c r="A74" s="58">
        <v>3.0</v>
      </c>
      <c r="B74" s="59" t="s">
        <v>120</v>
      </c>
      <c r="C74" s="59" t="s">
        <v>121</v>
      </c>
      <c r="D74" s="60">
        <v>11.0</v>
      </c>
      <c r="E74" s="60">
        <v>7.0</v>
      </c>
      <c r="F74" s="60">
        <v>1.0</v>
      </c>
      <c r="G74" s="60" t="str">
        <f t="shared" si="12"/>
        <v>77</v>
      </c>
      <c r="H74" s="60" t="s">
        <v>52</v>
      </c>
      <c r="I74" s="61">
        <v>700.0</v>
      </c>
      <c r="J74" s="62" t="s">
        <v>53</v>
      </c>
    </row>
    <row r="75" ht="15.75" customHeight="1">
      <c r="A75" s="58">
        <v>4.0</v>
      </c>
      <c r="B75" s="59" t="s">
        <v>122</v>
      </c>
      <c r="C75" s="59" t="s">
        <v>123</v>
      </c>
      <c r="D75" s="60">
        <v>6.0</v>
      </c>
      <c r="E75" s="60">
        <v>9.5</v>
      </c>
      <c r="F75" s="60">
        <v>1.0</v>
      </c>
      <c r="G75" s="60" t="str">
        <f t="shared" si="12"/>
        <v>57</v>
      </c>
      <c r="H75" s="60" t="s">
        <v>52</v>
      </c>
      <c r="I75" s="61">
        <v>1800.0</v>
      </c>
      <c r="J75" s="61" t="str">
        <f t="shared" ref="J75:J77" si="14">G75*I75</f>
        <v>₹ 102,600.00</v>
      </c>
    </row>
    <row r="76" ht="15.75" customHeight="1">
      <c r="A76" s="58">
        <v>5.0</v>
      </c>
      <c r="B76" s="59" t="s">
        <v>124</v>
      </c>
      <c r="C76" s="59" t="s">
        <v>125</v>
      </c>
      <c r="D76" s="60">
        <v>1.0</v>
      </c>
      <c r="E76" s="60">
        <v>1.6</v>
      </c>
      <c r="F76" s="60">
        <v>2.0</v>
      </c>
      <c r="G76" s="60">
        <v>2.0</v>
      </c>
      <c r="H76" s="60" t="s">
        <v>126</v>
      </c>
      <c r="I76" s="61">
        <v>3500.0</v>
      </c>
      <c r="J76" s="61" t="str">
        <f t="shared" si="14"/>
        <v>₹ 7,000.00</v>
      </c>
    </row>
    <row r="77" ht="15.75" customHeight="1">
      <c r="A77" s="58">
        <v>6.0</v>
      </c>
      <c r="B77" s="59" t="s">
        <v>127</v>
      </c>
      <c r="C77" s="59" t="s">
        <v>128</v>
      </c>
      <c r="D77" s="60">
        <v>2.0</v>
      </c>
      <c r="E77" s="60">
        <v>2.6</v>
      </c>
      <c r="F77" s="60">
        <v>1.0</v>
      </c>
      <c r="G77" s="60" t="str">
        <f t="shared" ref="G77:G80" si="15">F77*E77*D77</f>
        <v>5.2</v>
      </c>
      <c r="H77" s="60" t="s">
        <v>52</v>
      </c>
      <c r="I77" s="61">
        <v>1400.0</v>
      </c>
      <c r="J77" s="61" t="str">
        <f t="shared" si="14"/>
        <v>₹ 7,280.00</v>
      </c>
    </row>
    <row r="78" ht="15.75" customHeight="1">
      <c r="A78" s="58">
        <v>7.0</v>
      </c>
      <c r="B78" s="59" t="s">
        <v>134</v>
      </c>
      <c r="C78" s="59" t="s">
        <v>135</v>
      </c>
      <c r="D78" s="60">
        <v>9.0</v>
      </c>
      <c r="E78" s="60">
        <v>3.0</v>
      </c>
      <c r="F78" s="60">
        <v>1.0</v>
      </c>
      <c r="G78" s="60" t="str">
        <f t="shared" si="15"/>
        <v>27</v>
      </c>
      <c r="H78" s="60" t="s">
        <v>52</v>
      </c>
      <c r="I78" s="61">
        <v>1200.0</v>
      </c>
      <c r="J78" s="62" t="s">
        <v>53</v>
      </c>
    </row>
    <row r="79" ht="15.75" customHeight="1">
      <c r="A79" s="58">
        <v>8.0</v>
      </c>
      <c r="B79" s="59" t="s">
        <v>145</v>
      </c>
      <c r="C79" s="59" t="s">
        <v>146</v>
      </c>
      <c r="D79" s="60">
        <v>2.0</v>
      </c>
      <c r="E79" s="60">
        <v>6.0</v>
      </c>
      <c r="F79" s="60">
        <v>1.0</v>
      </c>
      <c r="G79" s="60" t="str">
        <f t="shared" si="15"/>
        <v>12</v>
      </c>
      <c r="H79" s="60" t="s">
        <v>52</v>
      </c>
      <c r="I79" s="61">
        <v>300.0</v>
      </c>
      <c r="J79" s="61" t="str">
        <f>G79*I79</f>
        <v>₹ 3,600.00</v>
      </c>
    </row>
    <row r="80" ht="15.75" customHeight="1">
      <c r="A80" s="58">
        <v>9.0</v>
      </c>
      <c r="B80" s="59" t="s">
        <v>147</v>
      </c>
      <c r="C80" s="59" t="s">
        <v>128</v>
      </c>
      <c r="D80" s="60">
        <v>2.0</v>
      </c>
      <c r="E80" s="60">
        <v>3.0</v>
      </c>
      <c r="F80" s="60">
        <v>1.0</v>
      </c>
      <c r="G80" s="60" t="str">
        <f t="shared" si="15"/>
        <v>6</v>
      </c>
      <c r="H80" s="60" t="s">
        <v>52</v>
      </c>
      <c r="I80" s="61">
        <v>1800.0</v>
      </c>
      <c r="J80" s="62" t="s">
        <v>53</v>
      </c>
    </row>
    <row r="81" ht="15.75" customHeight="1"/>
    <row r="82" ht="15.75" customHeight="1">
      <c r="A82" s="66"/>
      <c r="B82" s="50"/>
      <c r="C82" s="50"/>
      <c r="D82" s="50"/>
      <c r="E82" s="50"/>
      <c r="F82" s="50"/>
      <c r="G82" s="50"/>
      <c r="H82" s="50"/>
      <c r="I82" s="50"/>
      <c r="J82" s="52"/>
    </row>
    <row r="83" ht="15.75" customHeight="1">
      <c r="A83" s="64" t="s">
        <v>148</v>
      </c>
      <c r="B83" s="50"/>
      <c r="C83" s="50"/>
      <c r="D83" s="50"/>
      <c r="E83" s="50"/>
      <c r="F83" s="50"/>
      <c r="G83" s="50"/>
      <c r="H83" s="50"/>
      <c r="I83" s="50"/>
      <c r="J83" s="65" t="str">
        <f>SUM(J70:J80)</f>
        <v>₹ 178,380.00</v>
      </c>
    </row>
    <row r="84" ht="15.75" customHeight="1">
      <c r="A84" s="66"/>
      <c r="B84" s="50"/>
      <c r="C84" s="50"/>
      <c r="D84" s="50"/>
      <c r="E84" s="50"/>
      <c r="F84" s="50"/>
      <c r="G84" s="50"/>
      <c r="H84" s="50"/>
      <c r="I84" s="50"/>
      <c r="J84" s="52"/>
    </row>
    <row r="85" ht="15.75" customHeight="1">
      <c r="A85" s="55" t="s">
        <v>149</v>
      </c>
      <c r="B85" s="70" t="s">
        <v>150</v>
      </c>
      <c r="C85" s="50"/>
      <c r="D85" s="50"/>
      <c r="E85" s="50"/>
      <c r="F85" s="50"/>
      <c r="G85" s="50"/>
      <c r="H85" s="50"/>
      <c r="I85" s="50"/>
      <c r="J85" s="52"/>
    </row>
    <row r="86" ht="15.75" customHeight="1">
      <c r="A86" s="66"/>
      <c r="B86" s="50"/>
      <c r="C86" s="50"/>
      <c r="D86" s="50"/>
      <c r="E86" s="50"/>
      <c r="F86" s="50"/>
      <c r="G86" s="50"/>
      <c r="H86" s="50"/>
      <c r="I86" s="50"/>
      <c r="J86" s="52"/>
    </row>
    <row r="87" ht="15.75" customHeight="1">
      <c r="A87" s="58">
        <v>1.0</v>
      </c>
      <c r="B87" s="59" t="s">
        <v>151</v>
      </c>
      <c r="C87" s="59" t="s">
        <v>152</v>
      </c>
      <c r="D87" s="60">
        <v>7.0</v>
      </c>
      <c r="E87" s="60">
        <v>3.0</v>
      </c>
      <c r="F87" s="60">
        <v>1.0</v>
      </c>
      <c r="G87" s="60" t="str">
        <f t="shared" ref="G87:G90" si="16">F87*E87*D87</f>
        <v>21</v>
      </c>
      <c r="H87" s="60" t="s">
        <v>52</v>
      </c>
      <c r="I87" s="61">
        <v>900.0</v>
      </c>
      <c r="J87" s="62" t="s">
        <v>53</v>
      </c>
    </row>
    <row r="88" ht="15.75" customHeight="1">
      <c r="A88" s="58">
        <v>2.0</v>
      </c>
      <c r="B88" s="59" t="s">
        <v>153</v>
      </c>
      <c r="C88" s="59" t="s">
        <v>154</v>
      </c>
      <c r="D88" s="60">
        <v>7.0</v>
      </c>
      <c r="E88" s="60">
        <v>3.0</v>
      </c>
      <c r="F88" s="60">
        <v>1.0</v>
      </c>
      <c r="G88" s="60" t="str">
        <f t="shared" si="16"/>
        <v>21</v>
      </c>
      <c r="H88" s="60" t="s">
        <v>52</v>
      </c>
      <c r="I88" s="61">
        <v>500.0</v>
      </c>
      <c r="J88" s="62" t="s">
        <v>53</v>
      </c>
    </row>
    <row r="89" ht="15.75" customHeight="1">
      <c r="A89" s="58">
        <v>3.0</v>
      </c>
      <c r="B89" s="59" t="s">
        <v>155</v>
      </c>
      <c r="C89" s="59" t="s">
        <v>156</v>
      </c>
      <c r="D89" s="60">
        <v>2.0</v>
      </c>
      <c r="E89" s="60">
        <v>2.0</v>
      </c>
      <c r="F89" s="60">
        <v>3.0</v>
      </c>
      <c r="G89" s="60" t="str">
        <f t="shared" si="16"/>
        <v>12</v>
      </c>
      <c r="H89" s="60" t="s">
        <v>52</v>
      </c>
      <c r="I89" s="61">
        <v>1800.0</v>
      </c>
      <c r="J89" s="62" t="s">
        <v>53</v>
      </c>
    </row>
    <row r="90" ht="15.75" customHeight="1">
      <c r="A90" s="58">
        <v>3.0</v>
      </c>
      <c r="B90" s="59" t="s">
        <v>157</v>
      </c>
      <c r="C90" s="59" t="s">
        <v>156</v>
      </c>
      <c r="D90" s="60">
        <v>3.0</v>
      </c>
      <c r="E90" s="60">
        <v>4.0</v>
      </c>
      <c r="F90" s="60">
        <v>1.0</v>
      </c>
      <c r="G90" s="60" t="str">
        <f t="shared" si="16"/>
        <v>12</v>
      </c>
      <c r="H90" s="60" t="s">
        <v>52</v>
      </c>
      <c r="I90" s="61">
        <v>1800.0</v>
      </c>
      <c r="J90" s="62" t="s">
        <v>53</v>
      </c>
    </row>
    <row r="91" ht="15.75" customHeight="1">
      <c r="A91" s="66"/>
      <c r="B91" s="50"/>
      <c r="C91" s="50"/>
      <c r="D91" s="50"/>
      <c r="E91" s="50"/>
      <c r="F91" s="50"/>
      <c r="G91" s="50"/>
      <c r="H91" s="50"/>
      <c r="I91" s="50"/>
      <c r="J91" s="52"/>
    </row>
    <row r="92" ht="15.75" customHeight="1">
      <c r="A92" s="64" t="s">
        <v>158</v>
      </c>
      <c r="B92" s="50"/>
      <c r="C92" s="50"/>
      <c r="D92" s="50"/>
      <c r="E92" s="50"/>
      <c r="F92" s="50"/>
      <c r="G92" s="50"/>
      <c r="H92" s="50"/>
      <c r="I92" s="50"/>
      <c r="J92" s="65" t="str">
        <f>SUM(J87:J90)</f>
        <v>₹ 0.00</v>
      </c>
    </row>
    <row r="93" ht="15.75" customHeight="1">
      <c r="A93" s="66"/>
      <c r="B93" s="50"/>
      <c r="C93" s="50"/>
      <c r="D93" s="50"/>
      <c r="E93" s="50"/>
      <c r="F93" s="50"/>
      <c r="G93" s="50"/>
      <c r="H93" s="50"/>
      <c r="I93" s="50"/>
      <c r="J93" s="52"/>
    </row>
    <row r="94" ht="15.75" customHeight="1">
      <c r="A94" s="55" t="s">
        <v>159</v>
      </c>
      <c r="B94" s="70" t="s">
        <v>160</v>
      </c>
      <c r="C94" s="50"/>
      <c r="D94" s="50"/>
      <c r="E94" s="50"/>
      <c r="F94" s="50"/>
      <c r="G94" s="50"/>
      <c r="H94" s="50"/>
      <c r="I94" s="50"/>
      <c r="J94" s="52"/>
    </row>
    <row r="95" ht="15.75" customHeight="1">
      <c r="A95" s="66"/>
      <c r="B95" s="50"/>
      <c r="C95" s="50"/>
      <c r="D95" s="50"/>
      <c r="E95" s="50"/>
      <c r="F95" s="50"/>
      <c r="G95" s="50"/>
      <c r="H95" s="50"/>
      <c r="I95" s="50"/>
      <c r="J95" s="52"/>
    </row>
    <row r="96" ht="15.75" customHeight="1">
      <c r="A96" s="58">
        <v>1.0</v>
      </c>
      <c r="B96" s="59" t="s">
        <v>116</v>
      </c>
      <c r="C96" s="59" t="s">
        <v>117</v>
      </c>
      <c r="D96" s="60">
        <v>6.0</v>
      </c>
      <c r="E96" s="60">
        <v>5.6</v>
      </c>
      <c r="F96" s="60">
        <v>1.0</v>
      </c>
      <c r="G96" s="60" t="str">
        <f t="shared" ref="G96:G99" si="17">F96*E96*D96</f>
        <v>33.6</v>
      </c>
      <c r="H96" s="60" t="s">
        <v>52</v>
      </c>
      <c r="I96" s="61">
        <v>1450.0</v>
      </c>
      <c r="J96" s="61" t="str">
        <f t="shared" ref="J96:J97" si="18">G96*I96</f>
        <v>₹ 48,720.00</v>
      </c>
    </row>
    <row r="97" ht="15.75" customHeight="1">
      <c r="A97" s="58">
        <v>2.0</v>
      </c>
      <c r="B97" s="59" t="s">
        <v>118</v>
      </c>
      <c r="C97" s="59" t="s">
        <v>119</v>
      </c>
      <c r="D97" s="60">
        <v>3.0</v>
      </c>
      <c r="E97" s="60">
        <v>12.0</v>
      </c>
      <c r="F97" s="60">
        <v>1.0</v>
      </c>
      <c r="G97" s="60" t="str">
        <f t="shared" si="17"/>
        <v>36</v>
      </c>
      <c r="H97" s="60" t="s">
        <v>52</v>
      </c>
      <c r="I97" s="61">
        <v>900.0</v>
      </c>
      <c r="J97" s="61" t="str">
        <f t="shared" si="18"/>
        <v>₹ 32,400.00</v>
      </c>
    </row>
    <row r="98" ht="15.75" customHeight="1">
      <c r="A98" s="58">
        <v>3.0</v>
      </c>
      <c r="B98" s="59" t="s">
        <v>120</v>
      </c>
      <c r="C98" s="59" t="s">
        <v>121</v>
      </c>
      <c r="D98" s="60">
        <v>6.0</v>
      </c>
      <c r="E98" s="60">
        <v>12.0</v>
      </c>
      <c r="F98" s="60">
        <v>1.0</v>
      </c>
      <c r="G98" s="60" t="str">
        <f t="shared" si="17"/>
        <v>72</v>
      </c>
      <c r="H98" s="60" t="s">
        <v>52</v>
      </c>
      <c r="I98" s="61">
        <v>800.0</v>
      </c>
      <c r="J98" s="62" t="s">
        <v>53</v>
      </c>
    </row>
    <row r="99" ht="15.75" customHeight="1">
      <c r="A99" s="58">
        <v>4.0</v>
      </c>
      <c r="B99" s="59" t="s">
        <v>122</v>
      </c>
      <c r="C99" s="59" t="s">
        <v>123</v>
      </c>
      <c r="D99" s="60">
        <v>7.0</v>
      </c>
      <c r="E99" s="60">
        <v>9.0</v>
      </c>
      <c r="F99" s="60">
        <v>1.0</v>
      </c>
      <c r="G99" s="60" t="str">
        <f t="shared" si="17"/>
        <v>63</v>
      </c>
      <c r="H99" s="60" t="s">
        <v>52</v>
      </c>
      <c r="I99" s="61">
        <v>1800.0</v>
      </c>
      <c r="J99" s="61" t="str">
        <f t="shared" ref="J99:J103" si="19">G99*I99</f>
        <v>₹ 113,400.00</v>
      </c>
    </row>
    <row r="100" ht="15.75" customHeight="1">
      <c r="A100" s="58">
        <v>5.0</v>
      </c>
      <c r="B100" s="59" t="s">
        <v>124</v>
      </c>
      <c r="C100" s="59" t="s">
        <v>125</v>
      </c>
      <c r="D100" s="60">
        <v>1.0</v>
      </c>
      <c r="E100" s="60">
        <v>1.6</v>
      </c>
      <c r="F100" s="60">
        <v>2.0</v>
      </c>
      <c r="G100" s="60">
        <v>2.0</v>
      </c>
      <c r="H100" s="60" t="s">
        <v>126</v>
      </c>
      <c r="I100" s="61">
        <v>3500.0</v>
      </c>
      <c r="J100" s="61" t="str">
        <f t="shared" si="19"/>
        <v>₹ 7,000.00</v>
      </c>
    </row>
    <row r="101" ht="15.75" customHeight="1">
      <c r="A101" s="58">
        <v>6.0</v>
      </c>
      <c r="B101" s="59" t="s">
        <v>127</v>
      </c>
      <c r="C101" s="59" t="s">
        <v>128</v>
      </c>
      <c r="D101" s="60">
        <v>4.0</v>
      </c>
      <c r="E101" s="60">
        <v>2.6</v>
      </c>
      <c r="F101" s="60">
        <v>1.0</v>
      </c>
      <c r="G101" s="60" t="str">
        <f t="shared" ref="G101:G103" si="20">F101*E101*D101</f>
        <v>10.4</v>
      </c>
      <c r="H101" s="60" t="s">
        <v>52</v>
      </c>
      <c r="I101" s="61">
        <v>1800.0</v>
      </c>
      <c r="J101" s="61" t="str">
        <f t="shared" si="19"/>
        <v>₹ 18,720.00</v>
      </c>
    </row>
    <row r="102" ht="15.75" customHeight="1">
      <c r="A102" s="58">
        <v>7.0</v>
      </c>
      <c r="B102" s="59" t="s">
        <v>134</v>
      </c>
      <c r="C102" s="59" t="s">
        <v>135</v>
      </c>
      <c r="D102" s="60">
        <v>7.0</v>
      </c>
      <c r="E102" s="60">
        <v>3.0</v>
      </c>
      <c r="F102" s="60">
        <v>1.0</v>
      </c>
      <c r="G102" s="60" t="str">
        <f t="shared" si="20"/>
        <v>21</v>
      </c>
      <c r="H102" s="60" t="s">
        <v>52</v>
      </c>
      <c r="I102" s="61">
        <v>1800.0</v>
      </c>
      <c r="J102" s="61" t="str">
        <f t="shared" si="19"/>
        <v>₹ 37,800.00</v>
      </c>
    </row>
    <row r="103" ht="15.75" customHeight="1">
      <c r="A103" s="58">
        <v>8.0</v>
      </c>
      <c r="B103" s="59" t="s">
        <v>161</v>
      </c>
      <c r="C103" s="59" t="s">
        <v>162</v>
      </c>
      <c r="D103" s="60">
        <v>2.0</v>
      </c>
      <c r="E103" s="60">
        <v>4.0</v>
      </c>
      <c r="F103" s="60">
        <v>1.0</v>
      </c>
      <c r="G103" s="60" t="str">
        <f t="shared" si="20"/>
        <v>8</v>
      </c>
      <c r="H103" s="60" t="s">
        <v>52</v>
      </c>
      <c r="I103" s="61">
        <v>1800.0</v>
      </c>
      <c r="J103" s="61" t="str">
        <f t="shared" si="19"/>
        <v>₹ 14,400.00</v>
      </c>
    </row>
    <row r="104" ht="15.75" customHeight="1">
      <c r="A104" s="66"/>
      <c r="B104" s="50"/>
      <c r="C104" s="50"/>
      <c r="D104" s="50"/>
      <c r="E104" s="50"/>
      <c r="F104" s="50"/>
      <c r="G104" s="50"/>
      <c r="H104" s="50"/>
      <c r="I104" s="50"/>
      <c r="J104" s="52"/>
    </row>
    <row r="105" ht="15.75" customHeight="1">
      <c r="A105" s="64" t="s">
        <v>163</v>
      </c>
      <c r="B105" s="50"/>
      <c r="C105" s="50"/>
      <c r="D105" s="50"/>
      <c r="E105" s="50"/>
      <c r="F105" s="50"/>
      <c r="G105" s="50"/>
      <c r="H105" s="50"/>
      <c r="I105" s="50"/>
      <c r="J105" s="65" t="str">
        <f>SUM(J96:J103)</f>
        <v>₹ 272,440.00</v>
      </c>
    </row>
    <row r="106" ht="15.75" customHeight="1">
      <c r="A106" s="66"/>
      <c r="B106" s="50"/>
      <c r="C106" s="50"/>
      <c r="D106" s="50"/>
      <c r="E106" s="50"/>
      <c r="F106" s="50"/>
      <c r="G106" s="50"/>
      <c r="H106" s="50"/>
      <c r="I106" s="50"/>
      <c r="J106" s="52"/>
    </row>
    <row r="107" ht="15.75" customHeight="1">
      <c r="A107" s="71" t="s">
        <v>164</v>
      </c>
      <c r="B107" s="50"/>
      <c r="C107" s="50"/>
      <c r="D107" s="50"/>
      <c r="E107" s="50"/>
      <c r="F107" s="50"/>
      <c r="G107" s="50"/>
      <c r="H107" s="50"/>
      <c r="I107" s="50"/>
      <c r="J107" s="65" t="str">
        <f>J105+J92+J83+J68+J49+J34+J26+J13</f>
        <v>₹ 1,307,020.00</v>
      </c>
    </row>
    <row r="108" ht="15.75" customHeight="1">
      <c r="A108" s="66"/>
      <c r="B108" s="50"/>
      <c r="C108" s="50"/>
      <c r="D108" s="50"/>
      <c r="E108" s="50"/>
      <c r="F108" s="50"/>
      <c r="G108" s="50"/>
      <c r="H108" s="50"/>
      <c r="I108" s="50"/>
      <c r="J108" s="52"/>
    </row>
    <row r="109" ht="15.75" customHeight="1">
      <c r="A109" s="55" t="s">
        <v>48</v>
      </c>
      <c r="B109" s="70" t="s">
        <v>165</v>
      </c>
      <c r="C109" s="50"/>
      <c r="D109" s="50"/>
      <c r="E109" s="50"/>
      <c r="F109" s="50"/>
      <c r="G109" s="50"/>
      <c r="H109" s="50"/>
      <c r="I109" s="50"/>
      <c r="J109" s="52"/>
    </row>
    <row r="110" ht="15.75" customHeight="1">
      <c r="A110" s="57"/>
      <c r="B110" s="50"/>
      <c r="C110" s="50"/>
      <c r="D110" s="50"/>
      <c r="E110" s="50"/>
      <c r="F110" s="50"/>
      <c r="G110" s="50"/>
      <c r="H110" s="50"/>
      <c r="I110" s="50"/>
      <c r="J110" s="52"/>
    </row>
    <row r="111" ht="15.75" customHeight="1">
      <c r="A111" s="58">
        <v>1.0</v>
      </c>
      <c r="B111" s="59" t="s">
        <v>166</v>
      </c>
      <c r="C111" s="59" t="s">
        <v>167</v>
      </c>
      <c r="D111" s="60">
        <v>11.0</v>
      </c>
      <c r="E111" s="60">
        <v>11.5</v>
      </c>
      <c r="F111" s="60">
        <v>1.0</v>
      </c>
      <c r="G111" s="60" t="str">
        <f t="shared" ref="G111:G124" si="21">D111*E111*F111</f>
        <v>126.5</v>
      </c>
      <c r="H111" s="60" t="s">
        <v>52</v>
      </c>
      <c r="I111" s="61">
        <v>80.0</v>
      </c>
      <c r="J111" s="61" t="str">
        <f t="shared" ref="J111:J118" si="22">G111*I111</f>
        <v>₹ 10,120.00</v>
      </c>
    </row>
    <row r="112" ht="15.75" customHeight="1">
      <c r="A112" s="72"/>
      <c r="B112" s="69"/>
      <c r="C112" s="59" t="s">
        <v>168</v>
      </c>
      <c r="D112" s="60">
        <v>11.0</v>
      </c>
      <c r="E112" s="60">
        <v>11.5</v>
      </c>
      <c r="F112" s="60">
        <v>1.0</v>
      </c>
      <c r="G112" s="60" t="str">
        <f t="shared" si="21"/>
        <v>126.5</v>
      </c>
      <c r="H112" s="60" t="s">
        <v>52</v>
      </c>
      <c r="I112" s="61">
        <v>80.0</v>
      </c>
      <c r="J112" s="61" t="str">
        <f t="shared" si="22"/>
        <v>₹ 10,120.00</v>
      </c>
    </row>
    <row r="113" ht="15.75" customHeight="1">
      <c r="A113" s="72"/>
      <c r="B113" s="69"/>
      <c r="C113" s="59" t="s">
        <v>169</v>
      </c>
      <c r="D113" s="60">
        <v>11.0</v>
      </c>
      <c r="E113" s="60">
        <v>12.0</v>
      </c>
      <c r="F113" s="60">
        <v>1.0</v>
      </c>
      <c r="G113" s="60" t="str">
        <f t="shared" si="21"/>
        <v>132</v>
      </c>
      <c r="H113" s="60" t="s">
        <v>52</v>
      </c>
      <c r="I113" s="61">
        <v>80.0</v>
      </c>
      <c r="J113" s="61" t="str">
        <f t="shared" si="22"/>
        <v>₹ 10,560.00</v>
      </c>
    </row>
    <row r="114" ht="15.75" customHeight="1">
      <c r="A114" s="72"/>
      <c r="B114" s="69"/>
      <c r="C114" s="59" t="s">
        <v>170</v>
      </c>
      <c r="D114" s="60">
        <v>17.5</v>
      </c>
      <c r="E114" s="60">
        <v>14.5</v>
      </c>
      <c r="F114" s="60">
        <v>1.0</v>
      </c>
      <c r="G114" s="60" t="str">
        <f t="shared" si="21"/>
        <v>253.75</v>
      </c>
      <c r="H114" s="60" t="s">
        <v>52</v>
      </c>
      <c r="I114" s="61">
        <v>80.0</v>
      </c>
      <c r="J114" s="61" t="str">
        <f t="shared" si="22"/>
        <v>₹ 20,300.00</v>
      </c>
    </row>
    <row r="115" ht="15.75" customHeight="1">
      <c r="A115" s="72"/>
      <c r="B115" s="69"/>
      <c r="C115" s="59" t="s">
        <v>171</v>
      </c>
      <c r="D115" s="60">
        <v>12.3</v>
      </c>
      <c r="E115" s="60">
        <v>5.0</v>
      </c>
      <c r="F115" s="60">
        <v>1.0</v>
      </c>
      <c r="G115" s="60" t="str">
        <f t="shared" si="21"/>
        <v>61.5</v>
      </c>
      <c r="H115" s="60" t="s">
        <v>52</v>
      </c>
      <c r="I115" s="61">
        <v>80.0</v>
      </c>
      <c r="J115" s="61" t="str">
        <f t="shared" si="22"/>
        <v>₹ 4,920.00</v>
      </c>
    </row>
    <row r="116" ht="15.75" customHeight="1">
      <c r="A116" s="72"/>
      <c r="B116" s="69"/>
      <c r="C116" s="59" t="s">
        <v>94</v>
      </c>
      <c r="D116" s="60">
        <v>9.0</v>
      </c>
      <c r="E116" s="60">
        <v>9.3</v>
      </c>
      <c r="F116" s="60">
        <v>1.0</v>
      </c>
      <c r="G116" s="60" t="str">
        <f t="shared" si="21"/>
        <v>83.7</v>
      </c>
      <c r="H116" s="60" t="s">
        <v>52</v>
      </c>
      <c r="I116" s="61">
        <v>80.0</v>
      </c>
      <c r="J116" s="61" t="str">
        <f t="shared" si="22"/>
        <v>₹ 6,696.00</v>
      </c>
    </row>
    <row r="117" ht="15.75" customHeight="1">
      <c r="A117" s="72"/>
      <c r="B117" s="69"/>
      <c r="C117" s="59" t="s">
        <v>172</v>
      </c>
      <c r="D117" s="60">
        <v>5.0</v>
      </c>
      <c r="E117" s="60">
        <v>4.0</v>
      </c>
      <c r="F117" s="60">
        <v>1.0</v>
      </c>
      <c r="G117" s="60" t="str">
        <f t="shared" si="21"/>
        <v>20</v>
      </c>
      <c r="H117" s="60" t="s">
        <v>52</v>
      </c>
      <c r="I117" s="61">
        <v>80.0</v>
      </c>
      <c r="J117" s="61" t="str">
        <f t="shared" si="22"/>
        <v>₹ 1,600.00</v>
      </c>
    </row>
    <row r="118" ht="15.75" customHeight="1">
      <c r="A118" s="72"/>
      <c r="B118" s="69"/>
      <c r="C118" s="59" t="s">
        <v>173</v>
      </c>
      <c r="D118" s="60">
        <v>4.0</v>
      </c>
      <c r="E118" s="60">
        <v>6.0</v>
      </c>
      <c r="F118" s="60">
        <v>1.0</v>
      </c>
      <c r="G118" s="60" t="str">
        <f t="shared" si="21"/>
        <v>24</v>
      </c>
      <c r="H118" s="60" t="s">
        <v>52</v>
      </c>
      <c r="I118" s="61">
        <v>80.0</v>
      </c>
      <c r="J118" s="61" t="str">
        <f t="shared" si="22"/>
        <v>₹ 1,920.00</v>
      </c>
    </row>
    <row r="119" ht="15.75" customHeight="1">
      <c r="A119" s="58">
        <v>2.0</v>
      </c>
      <c r="B119" s="59" t="s">
        <v>174</v>
      </c>
      <c r="C119" s="59" t="s">
        <v>84</v>
      </c>
      <c r="D119" s="60">
        <v>6.0</v>
      </c>
      <c r="E119" s="60">
        <v>14.0</v>
      </c>
      <c r="F119" s="60">
        <v>1.0</v>
      </c>
      <c r="G119" s="60" t="str">
        <f t="shared" si="21"/>
        <v>84</v>
      </c>
      <c r="H119" s="60" t="s">
        <v>52</v>
      </c>
      <c r="I119" s="61">
        <v>250.0</v>
      </c>
      <c r="J119" s="62" t="s">
        <v>53</v>
      </c>
    </row>
    <row r="120" ht="15.75" customHeight="1">
      <c r="A120" s="72"/>
      <c r="B120" s="69"/>
      <c r="C120" s="59" t="s">
        <v>84</v>
      </c>
      <c r="D120" s="60">
        <v>3.0</v>
      </c>
      <c r="E120" s="60">
        <v>14.0</v>
      </c>
      <c r="F120" s="60">
        <v>1.0</v>
      </c>
      <c r="G120" s="60" t="str">
        <f t="shared" si="21"/>
        <v>42</v>
      </c>
      <c r="H120" s="60" t="s">
        <v>52</v>
      </c>
      <c r="I120" s="61">
        <v>250.0</v>
      </c>
      <c r="J120" s="62" t="s">
        <v>53</v>
      </c>
    </row>
    <row r="121" ht="15.75" customHeight="1">
      <c r="A121" s="72"/>
      <c r="B121" s="69"/>
      <c r="C121" s="59" t="s">
        <v>175</v>
      </c>
      <c r="D121" s="60">
        <v>8.0</v>
      </c>
      <c r="E121" s="60">
        <v>4.0</v>
      </c>
      <c r="F121" s="60">
        <v>3.0</v>
      </c>
      <c r="G121" s="60" t="str">
        <f t="shared" si="21"/>
        <v>96</v>
      </c>
      <c r="H121" s="60" t="s">
        <v>52</v>
      </c>
      <c r="I121" s="61">
        <v>200.0</v>
      </c>
      <c r="J121" s="62" t="s">
        <v>53</v>
      </c>
    </row>
    <row r="122" ht="15.75" customHeight="1">
      <c r="A122" s="58">
        <v>3.0</v>
      </c>
      <c r="B122" s="59" t="s">
        <v>176</v>
      </c>
      <c r="C122" s="59" t="s">
        <v>177</v>
      </c>
      <c r="D122" s="60">
        <v>1.0</v>
      </c>
      <c r="E122" s="60">
        <v>8.0</v>
      </c>
      <c r="F122" s="60">
        <v>8.0</v>
      </c>
      <c r="G122" s="60" t="str">
        <f t="shared" si="21"/>
        <v>64</v>
      </c>
      <c r="H122" s="60" t="s">
        <v>52</v>
      </c>
      <c r="I122" s="61">
        <v>200.0</v>
      </c>
      <c r="J122" s="62" t="s">
        <v>53</v>
      </c>
    </row>
    <row r="123" ht="15.75" customHeight="1">
      <c r="A123" s="58">
        <v>3.0</v>
      </c>
      <c r="B123" s="59" t="s">
        <v>178</v>
      </c>
      <c r="C123" s="59" t="s">
        <v>179</v>
      </c>
      <c r="D123" s="60">
        <v>1.0</v>
      </c>
      <c r="E123" s="60" t="str">
        <f>SUM(E111:E118)</f>
        <v>73.8</v>
      </c>
      <c r="F123" s="60">
        <v>1.0</v>
      </c>
      <c r="G123" s="60" t="str">
        <f t="shared" si="21"/>
        <v>73.8</v>
      </c>
      <c r="H123" s="60" t="s">
        <v>52</v>
      </c>
      <c r="I123" s="61">
        <v>90.0</v>
      </c>
      <c r="J123" s="61" t="str">
        <f t="shared" ref="J123:J124" si="23">G123*I123</f>
        <v>₹ 6,642.00</v>
      </c>
    </row>
    <row r="124" ht="15.75" customHeight="1">
      <c r="A124" s="58">
        <v>4.0</v>
      </c>
      <c r="B124" s="59" t="s">
        <v>180</v>
      </c>
      <c r="C124" s="59" t="s">
        <v>181</v>
      </c>
      <c r="D124" s="60">
        <v>1.0</v>
      </c>
      <c r="E124" s="60">
        <v>50.0</v>
      </c>
      <c r="F124" s="60">
        <v>1.0</v>
      </c>
      <c r="G124" s="60" t="str">
        <f t="shared" si="21"/>
        <v>50</v>
      </c>
      <c r="H124" s="60" t="s">
        <v>52</v>
      </c>
      <c r="I124" s="61">
        <v>90.0</v>
      </c>
      <c r="J124" s="61" t="str">
        <f t="shared" si="23"/>
        <v>₹ 4,500.00</v>
      </c>
    </row>
    <row r="125" ht="15.75" customHeight="1">
      <c r="A125" s="66"/>
      <c r="B125" s="50"/>
      <c r="C125" s="50"/>
      <c r="D125" s="50"/>
      <c r="E125" s="50"/>
      <c r="F125" s="50"/>
      <c r="G125" s="50"/>
      <c r="H125" s="50"/>
      <c r="I125" s="50"/>
      <c r="J125" s="52"/>
    </row>
    <row r="126" ht="15.75" customHeight="1">
      <c r="A126" s="71" t="s">
        <v>182</v>
      </c>
      <c r="B126" s="50"/>
      <c r="C126" s="50"/>
      <c r="D126" s="50"/>
      <c r="E126" s="50"/>
      <c r="F126" s="50"/>
      <c r="G126" s="50"/>
      <c r="H126" s="50"/>
      <c r="I126" s="50"/>
      <c r="J126" s="65" t="str">
        <f>SUM(J110:J124)</f>
        <v>₹ 77,378.00</v>
      </c>
    </row>
    <row r="127" ht="15.75" customHeight="1">
      <c r="A127" s="66"/>
      <c r="B127" s="50"/>
      <c r="C127" s="50"/>
      <c r="D127" s="50"/>
      <c r="E127" s="50"/>
      <c r="F127" s="50"/>
      <c r="G127" s="50"/>
      <c r="H127" s="50"/>
      <c r="I127" s="50"/>
      <c r="J127" s="52"/>
    </row>
    <row r="128" ht="15.75" customHeight="1">
      <c r="A128" s="55" t="s">
        <v>64</v>
      </c>
      <c r="B128" s="70" t="s">
        <v>183</v>
      </c>
      <c r="C128" s="50"/>
      <c r="D128" s="50"/>
      <c r="E128" s="50"/>
      <c r="F128" s="50"/>
      <c r="G128" s="50"/>
      <c r="H128" s="50"/>
      <c r="I128" s="50"/>
      <c r="J128" s="52"/>
    </row>
    <row r="129" ht="15.75" customHeight="1">
      <c r="A129" s="57"/>
      <c r="B129" s="50"/>
      <c r="C129" s="50"/>
      <c r="D129" s="50"/>
      <c r="E129" s="50"/>
      <c r="F129" s="50"/>
      <c r="G129" s="50"/>
      <c r="H129" s="50"/>
      <c r="I129" s="50"/>
      <c r="J129" s="52"/>
    </row>
    <row r="130" ht="15.75" customHeight="1">
      <c r="A130" s="58">
        <v>1.0</v>
      </c>
      <c r="B130" s="59" t="s">
        <v>184</v>
      </c>
      <c r="C130" s="59" t="s">
        <v>185</v>
      </c>
      <c r="D130" s="69"/>
      <c r="E130" s="69"/>
      <c r="F130" s="69"/>
      <c r="G130" s="60"/>
      <c r="H130" s="60"/>
      <c r="I130" s="61"/>
      <c r="J130" s="73"/>
    </row>
    <row r="131" ht="15.75" customHeight="1">
      <c r="A131" s="58">
        <v>2.0</v>
      </c>
      <c r="B131" s="59" t="s">
        <v>186</v>
      </c>
      <c r="C131" s="59" t="s">
        <v>187</v>
      </c>
      <c r="D131" s="69"/>
      <c r="E131" s="69"/>
      <c r="F131" s="69"/>
      <c r="G131" s="60">
        <v>2500.0</v>
      </c>
      <c r="H131" s="60" t="s">
        <v>52</v>
      </c>
      <c r="I131" s="61">
        <v>38.0</v>
      </c>
      <c r="J131" s="61" t="str">
        <f>I131*G131</f>
        <v>₹ 95,000.00</v>
      </c>
    </row>
    <row r="132" ht="15.75" customHeight="1">
      <c r="A132" s="58">
        <v>3.0</v>
      </c>
      <c r="B132" s="59" t="s">
        <v>188</v>
      </c>
      <c r="C132" s="59" t="s">
        <v>189</v>
      </c>
      <c r="D132" s="69"/>
      <c r="E132" s="69"/>
      <c r="F132" s="69"/>
      <c r="G132" s="60"/>
      <c r="H132" s="60"/>
      <c r="I132" s="61"/>
      <c r="J132" s="62" t="s">
        <v>53</v>
      </c>
    </row>
    <row r="133" ht="15.75" customHeight="1">
      <c r="A133" s="58">
        <v>4.0</v>
      </c>
      <c r="B133" s="59" t="s">
        <v>65</v>
      </c>
      <c r="C133" s="59" t="s">
        <v>190</v>
      </c>
      <c r="D133" s="69"/>
      <c r="E133" s="69"/>
      <c r="F133" s="69"/>
      <c r="G133" s="69"/>
      <c r="H133" s="60"/>
      <c r="I133" s="73"/>
      <c r="J133" s="62" t="s">
        <v>53</v>
      </c>
    </row>
    <row r="134" ht="15.75" customHeight="1">
      <c r="A134" s="58">
        <v>5.0</v>
      </c>
      <c r="B134" s="59" t="s">
        <v>191</v>
      </c>
      <c r="C134" s="59" t="s">
        <v>192</v>
      </c>
      <c r="D134" s="69"/>
      <c r="E134" s="69"/>
      <c r="F134" s="69"/>
      <c r="G134" s="60"/>
      <c r="H134" s="60"/>
      <c r="I134" s="61"/>
      <c r="J134" s="62" t="s">
        <v>53</v>
      </c>
    </row>
    <row r="135" ht="15.75" customHeight="1">
      <c r="A135" s="72"/>
      <c r="B135" s="69"/>
      <c r="C135" s="59" t="s">
        <v>193</v>
      </c>
      <c r="D135" s="69"/>
      <c r="E135" s="69"/>
      <c r="F135" s="69"/>
      <c r="G135" s="60"/>
      <c r="H135" s="60"/>
      <c r="I135" s="61"/>
      <c r="J135" s="62" t="s">
        <v>53</v>
      </c>
    </row>
    <row r="136" ht="15.75" customHeight="1">
      <c r="A136" s="58">
        <v>6.0</v>
      </c>
      <c r="B136" s="59" t="s">
        <v>194</v>
      </c>
      <c r="C136" s="59" t="s">
        <v>195</v>
      </c>
      <c r="D136" s="69"/>
      <c r="E136" s="69"/>
      <c r="F136" s="69"/>
      <c r="G136" s="69"/>
      <c r="H136" s="60"/>
      <c r="I136" s="73"/>
      <c r="J136" s="62" t="s">
        <v>53</v>
      </c>
    </row>
    <row r="137" ht="15.75" customHeight="1">
      <c r="A137" s="58">
        <v>7.0</v>
      </c>
      <c r="B137" s="59" t="s">
        <v>196</v>
      </c>
      <c r="C137" s="59" t="s">
        <v>197</v>
      </c>
      <c r="D137" s="69"/>
      <c r="E137" s="69"/>
      <c r="F137" s="69"/>
      <c r="G137" s="69"/>
      <c r="H137" s="60"/>
      <c r="I137" s="73"/>
      <c r="J137" s="61">
        <v>12000.0</v>
      </c>
    </row>
    <row r="138" ht="15.75" customHeight="1">
      <c r="A138" s="58">
        <v>8.0</v>
      </c>
      <c r="B138" s="59" t="s">
        <v>198</v>
      </c>
      <c r="C138" s="59" t="s">
        <v>199</v>
      </c>
      <c r="D138" s="69"/>
      <c r="E138" s="69"/>
      <c r="F138" s="69"/>
      <c r="G138" s="69"/>
      <c r="H138" s="60"/>
      <c r="I138" s="73"/>
      <c r="J138" s="61">
        <v>6000.0</v>
      </c>
    </row>
    <row r="139" ht="15.75" customHeight="1">
      <c r="A139" s="58">
        <v>9.0</v>
      </c>
      <c r="B139" s="59" t="s">
        <v>200</v>
      </c>
      <c r="C139" s="59" t="s">
        <v>201</v>
      </c>
      <c r="D139" s="69"/>
      <c r="E139" s="69"/>
      <c r="F139" s="69"/>
      <c r="G139" s="69"/>
      <c r="H139" s="60"/>
      <c r="I139" s="73"/>
      <c r="J139" s="62" t="s">
        <v>53</v>
      </c>
    </row>
    <row r="140" ht="15.75" customHeight="1">
      <c r="A140" s="58">
        <v>10.0</v>
      </c>
      <c r="B140" s="59" t="s">
        <v>202</v>
      </c>
      <c r="C140" s="59" t="s">
        <v>203</v>
      </c>
      <c r="D140" s="69"/>
      <c r="E140" s="69"/>
      <c r="F140" s="69"/>
      <c r="G140" s="69"/>
      <c r="H140" s="60"/>
      <c r="I140" s="73"/>
      <c r="J140" s="62" t="s">
        <v>53</v>
      </c>
    </row>
    <row r="141" ht="15.75" customHeight="1">
      <c r="A141" s="58">
        <v>11.0</v>
      </c>
      <c r="B141" s="59" t="s">
        <v>204</v>
      </c>
      <c r="C141" s="59" t="s">
        <v>205</v>
      </c>
      <c r="D141" s="69"/>
      <c r="E141" s="69"/>
      <c r="F141" s="69"/>
      <c r="G141" s="60">
        <v>1.0</v>
      </c>
      <c r="H141" s="60" t="s">
        <v>206</v>
      </c>
      <c r="I141" s="61">
        <v>9000.0</v>
      </c>
      <c r="J141" s="61" t="str">
        <f>I141*G141</f>
        <v>₹ 9,000.00</v>
      </c>
    </row>
    <row r="142" ht="15.75" customHeight="1">
      <c r="A142" s="74" t="s">
        <v>207</v>
      </c>
      <c r="B142" s="50"/>
      <c r="C142" s="50"/>
      <c r="D142" s="50"/>
      <c r="E142" s="50"/>
      <c r="F142" s="50"/>
      <c r="G142" s="50"/>
      <c r="H142" s="50"/>
      <c r="I142" s="50"/>
      <c r="J142" s="52"/>
    </row>
    <row r="143" ht="15.75" customHeight="1">
      <c r="A143" s="57"/>
      <c r="B143" s="50"/>
      <c r="C143" s="50"/>
      <c r="D143" s="50"/>
      <c r="E143" s="50"/>
      <c r="F143" s="50"/>
      <c r="G143" s="50"/>
      <c r="H143" s="50"/>
      <c r="I143" s="50"/>
      <c r="J143" s="52"/>
    </row>
    <row r="144" ht="15.75" customHeight="1">
      <c r="A144" s="71" t="s">
        <v>208</v>
      </c>
      <c r="B144" s="50"/>
      <c r="C144" s="50"/>
      <c r="D144" s="50"/>
      <c r="E144" s="50"/>
      <c r="F144" s="50"/>
      <c r="G144" s="50"/>
      <c r="H144" s="50"/>
      <c r="I144" s="50"/>
      <c r="J144" s="65" t="str">
        <f>SUM(J130:J143)</f>
        <v>₹ 122,000.00</v>
      </c>
    </row>
    <row r="145" ht="15.75" customHeight="1">
      <c r="A145" s="57"/>
      <c r="B145" s="50"/>
      <c r="C145" s="50"/>
      <c r="D145" s="50"/>
      <c r="E145" s="50"/>
      <c r="F145" s="50"/>
      <c r="G145" s="50"/>
      <c r="H145" s="50"/>
      <c r="I145" s="50"/>
      <c r="J145" s="52"/>
    </row>
    <row r="146" ht="15.75" customHeight="1">
      <c r="A146" s="55" t="s">
        <v>83</v>
      </c>
      <c r="B146" s="70" t="s">
        <v>209</v>
      </c>
      <c r="C146" s="50"/>
      <c r="D146" s="50"/>
      <c r="E146" s="50"/>
      <c r="F146" s="50"/>
      <c r="G146" s="50"/>
      <c r="H146" s="50"/>
      <c r="I146" s="50"/>
      <c r="J146" s="52"/>
    </row>
    <row r="147" ht="15.75" customHeight="1">
      <c r="A147" s="57"/>
      <c r="B147" s="50"/>
      <c r="C147" s="50"/>
      <c r="D147" s="50"/>
      <c r="E147" s="50"/>
      <c r="F147" s="50"/>
      <c r="G147" s="50"/>
      <c r="H147" s="50"/>
      <c r="I147" s="50"/>
      <c r="J147" s="52"/>
    </row>
    <row r="148" ht="15.75" customHeight="1">
      <c r="A148" s="58">
        <v>1.0</v>
      </c>
      <c r="B148" s="59" t="s">
        <v>210</v>
      </c>
      <c r="C148" s="59" t="s">
        <v>211</v>
      </c>
      <c r="D148" s="69"/>
      <c r="E148" s="69"/>
      <c r="F148" s="69"/>
      <c r="G148" s="60">
        <v>80.0</v>
      </c>
      <c r="H148" s="60" t="s">
        <v>126</v>
      </c>
      <c r="I148" s="61">
        <v>950.0</v>
      </c>
      <c r="J148" s="61" t="str">
        <f>I148*G148</f>
        <v>₹ 76,000.00</v>
      </c>
    </row>
    <row r="149" ht="15.75" customHeight="1">
      <c r="A149" s="72"/>
      <c r="B149" s="69"/>
      <c r="C149" s="75" t="s">
        <v>212</v>
      </c>
      <c r="D149" s="69"/>
      <c r="E149" s="69"/>
      <c r="F149" s="69"/>
      <c r="G149" s="69"/>
      <c r="H149" s="69"/>
      <c r="I149" s="73"/>
      <c r="J149" s="62" t="s">
        <v>53</v>
      </c>
    </row>
    <row r="150" ht="15.75" customHeight="1">
      <c r="A150" s="72"/>
      <c r="B150" s="69"/>
      <c r="C150" s="76" t="s">
        <v>213</v>
      </c>
      <c r="D150" s="69"/>
      <c r="E150" s="69"/>
      <c r="F150" s="69"/>
      <c r="G150" s="60">
        <v>20.0</v>
      </c>
      <c r="H150" s="60" t="s">
        <v>214</v>
      </c>
      <c r="I150" s="61">
        <v>370.0</v>
      </c>
      <c r="J150" s="77" t="str">
        <f>I150*G150</f>
        <v>₹ 7,400.00</v>
      </c>
    </row>
    <row r="151" ht="15.75" customHeight="1">
      <c r="A151" s="58">
        <v>3.0</v>
      </c>
      <c r="B151" s="59" t="s">
        <v>215</v>
      </c>
      <c r="C151" s="59" t="s">
        <v>216</v>
      </c>
      <c r="D151" s="69"/>
      <c r="E151" s="69"/>
      <c r="F151" s="69"/>
      <c r="G151" s="69"/>
      <c r="H151" s="60" t="s">
        <v>126</v>
      </c>
      <c r="I151" s="73"/>
      <c r="J151" s="62" t="s">
        <v>53</v>
      </c>
    </row>
    <row r="152" ht="15.75" customHeight="1">
      <c r="A152" s="58">
        <v>4.0</v>
      </c>
      <c r="B152" s="59" t="s">
        <v>217</v>
      </c>
      <c r="C152" s="59" t="s">
        <v>218</v>
      </c>
      <c r="D152" s="69"/>
      <c r="E152" s="69"/>
      <c r="F152" s="69"/>
      <c r="G152" s="69"/>
      <c r="H152" s="69"/>
      <c r="I152" s="73"/>
      <c r="J152" s="62" t="s">
        <v>53</v>
      </c>
    </row>
    <row r="153" ht="15.75" customHeight="1">
      <c r="A153" s="58">
        <v>5.0</v>
      </c>
      <c r="B153" s="59" t="s">
        <v>219</v>
      </c>
      <c r="C153" s="59" t="s">
        <v>220</v>
      </c>
      <c r="D153" s="69"/>
      <c r="E153" s="69"/>
      <c r="F153" s="69"/>
      <c r="G153" s="69"/>
      <c r="H153" s="69"/>
      <c r="I153" s="73"/>
      <c r="J153" s="62" t="s">
        <v>53</v>
      </c>
    </row>
    <row r="154" ht="15.75" customHeight="1">
      <c r="A154" s="58">
        <v>7.0</v>
      </c>
      <c r="B154" s="59" t="s">
        <v>221</v>
      </c>
      <c r="C154" s="59" t="s">
        <v>222</v>
      </c>
      <c r="D154" s="69"/>
      <c r="E154" s="69"/>
      <c r="F154" s="69"/>
      <c r="G154" s="60">
        <v>5.0</v>
      </c>
      <c r="H154" s="60" t="s">
        <v>126</v>
      </c>
      <c r="I154" s="61">
        <v>900.0</v>
      </c>
      <c r="J154" s="61" t="str">
        <f>I154*G154</f>
        <v>₹ 4,500.00</v>
      </c>
    </row>
    <row r="155" ht="15.75" customHeight="1">
      <c r="A155" s="58">
        <v>6.0</v>
      </c>
      <c r="B155" s="59" t="s">
        <v>223</v>
      </c>
      <c r="C155" s="59" t="s">
        <v>224</v>
      </c>
      <c r="D155" s="69"/>
      <c r="E155" s="69"/>
      <c r="F155" s="69"/>
      <c r="G155" s="69"/>
      <c r="H155" s="60" t="s">
        <v>225</v>
      </c>
      <c r="I155" s="73"/>
      <c r="J155" s="62" t="s">
        <v>53</v>
      </c>
    </row>
    <row r="156" ht="15.75" customHeight="1">
      <c r="A156" s="72"/>
      <c r="B156" s="69"/>
      <c r="C156" s="59" t="s">
        <v>226</v>
      </c>
      <c r="D156" s="69"/>
      <c r="E156" s="69"/>
      <c r="F156" s="69"/>
      <c r="G156" s="60">
        <v>5.0</v>
      </c>
      <c r="H156" s="60" t="s">
        <v>225</v>
      </c>
      <c r="I156" s="61">
        <v>1000.0</v>
      </c>
      <c r="J156" s="61" t="str">
        <f>I156*G156</f>
        <v>₹ 5,000.00</v>
      </c>
    </row>
    <row r="157" ht="15.75" customHeight="1">
      <c r="A157" s="72"/>
      <c r="B157" s="69"/>
      <c r="C157" s="75" t="s">
        <v>227</v>
      </c>
      <c r="D157" s="69"/>
      <c r="E157" s="69"/>
      <c r="F157" s="69"/>
      <c r="G157" s="69"/>
      <c r="H157" s="69"/>
      <c r="I157" s="73"/>
      <c r="J157" s="73"/>
    </row>
    <row r="158" ht="15.75" customHeight="1">
      <c r="A158" s="57"/>
      <c r="B158" s="50"/>
      <c r="C158" s="50"/>
      <c r="D158" s="50"/>
      <c r="E158" s="50"/>
      <c r="F158" s="50"/>
      <c r="G158" s="50"/>
      <c r="H158" s="50"/>
      <c r="I158" s="50"/>
      <c r="J158" s="52"/>
    </row>
    <row r="159" ht="15.75" customHeight="1">
      <c r="A159" s="71" t="s">
        <v>228</v>
      </c>
      <c r="B159" s="50"/>
      <c r="C159" s="50"/>
      <c r="D159" s="50"/>
      <c r="E159" s="50"/>
      <c r="F159" s="50"/>
      <c r="G159" s="50"/>
      <c r="H159" s="50"/>
      <c r="I159" s="50"/>
      <c r="J159" s="65" t="str">
        <f>SUM(J148:J158)</f>
        <v>₹ 92,900.00</v>
      </c>
    </row>
    <row r="160" ht="15.75" customHeight="1">
      <c r="A160" s="57"/>
      <c r="B160" s="50"/>
      <c r="C160" s="50"/>
      <c r="D160" s="50"/>
      <c r="E160" s="50"/>
      <c r="F160" s="50"/>
      <c r="G160" s="50"/>
      <c r="H160" s="50"/>
      <c r="I160" s="50"/>
      <c r="J160" s="52"/>
    </row>
    <row r="161" ht="15.75" customHeight="1">
      <c r="A161" s="55" t="s">
        <v>93</v>
      </c>
      <c r="B161" s="70" t="s">
        <v>229</v>
      </c>
      <c r="C161" s="50"/>
      <c r="D161" s="50"/>
      <c r="E161" s="50"/>
      <c r="F161" s="50"/>
      <c r="G161" s="50"/>
      <c r="H161" s="50"/>
      <c r="I161" s="50"/>
      <c r="J161" s="52"/>
    </row>
    <row r="162" ht="15.75" customHeight="1">
      <c r="A162" s="57"/>
      <c r="B162" s="50"/>
      <c r="C162" s="50"/>
      <c r="D162" s="50"/>
      <c r="E162" s="50"/>
      <c r="F162" s="50"/>
      <c r="G162" s="50"/>
      <c r="H162" s="50"/>
      <c r="I162" s="50"/>
      <c r="J162" s="52"/>
    </row>
    <row r="163" ht="15.75" customHeight="1">
      <c r="A163" s="58">
        <v>1.0</v>
      </c>
      <c r="B163" s="59" t="s">
        <v>230</v>
      </c>
      <c r="C163" s="59" t="s">
        <v>231</v>
      </c>
      <c r="D163" s="69"/>
      <c r="E163" s="69"/>
      <c r="F163" s="60"/>
      <c r="G163" s="60">
        <v>2.0</v>
      </c>
      <c r="H163" s="60" t="s">
        <v>232</v>
      </c>
      <c r="I163" s="60" t="s">
        <v>225</v>
      </c>
      <c r="J163" s="62" t="s">
        <v>53</v>
      </c>
    </row>
    <row r="164" ht="15.75" customHeight="1">
      <c r="A164" s="72"/>
      <c r="B164" s="69"/>
      <c r="C164" s="75" t="s">
        <v>233</v>
      </c>
      <c r="D164" s="69"/>
      <c r="E164" s="69"/>
      <c r="F164" s="69"/>
      <c r="G164" s="69"/>
      <c r="H164" s="69"/>
      <c r="I164" s="73"/>
      <c r="J164" s="73"/>
    </row>
    <row r="165" ht="15.75" customHeight="1">
      <c r="A165" s="57"/>
      <c r="B165" s="50"/>
      <c r="C165" s="50"/>
      <c r="D165" s="50"/>
      <c r="E165" s="50"/>
      <c r="F165" s="50"/>
      <c r="G165" s="50"/>
      <c r="H165" s="50"/>
      <c r="I165" s="50"/>
      <c r="J165" s="52"/>
    </row>
    <row r="166" ht="15.75" customHeight="1">
      <c r="A166" s="71" t="s">
        <v>234</v>
      </c>
      <c r="B166" s="50"/>
      <c r="C166" s="50"/>
      <c r="D166" s="50"/>
      <c r="E166" s="50"/>
      <c r="F166" s="50"/>
      <c r="G166" s="50"/>
      <c r="H166" s="50"/>
      <c r="I166" s="50"/>
      <c r="J166" s="65" t="str">
        <f>SUM(J163:J165)</f>
        <v>₹ 0.00</v>
      </c>
    </row>
    <row r="167" ht="15.75" customHeight="1">
      <c r="A167" s="57"/>
      <c r="B167" s="50"/>
      <c r="C167" s="50"/>
      <c r="D167" s="50"/>
      <c r="E167" s="50"/>
      <c r="F167" s="50"/>
      <c r="G167" s="50"/>
      <c r="H167" s="50"/>
      <c r="I167" s="50"/>
      <c r="J167" s="52"/>
    </row>
    <row r="168" ht="15.75" customHeight="1">
      <c r="A168" s="55" t="s">
        <v>114</v>
      </c>
      <c r="B168" s="70" t="s">
        <v>235</v>
      </c>
      <c r="C168" s="50"/>
      <c r="D168" s="50"/>
      <c r="E168" s="50"/>
      <c r="F168" s="50"/>
      <c r="G168" s="50"/>
      <c r="H168" s="50"/>
      <c r="I168" s="50"/>
      <c r="J168" s="52"/>
    </row>
    <row r="169" ht="15.75" customHeight="1">
      <c r="A169" s="57"/>
      <c r="B169" s="50"/>
      <c r="C169" s="50"/>
      <c r="D169" s="50"/>
      <c r="E169" s="50"/>
      <c r="F169" s="50"/>
      <c r="G169" s="50"/>
      <c r="H169" s="50"/>
      <c r="I169" s="50"/>
      <c r="J169" s="52"/>
    </row>
    <row r="170" ht="15.75" customHeight="1">
      <c r="A170" s="58">
        <v>1.0</v>
      </c>
      <c r="B170" s="59" t="s">
        <v>236</v>
      </c>
      <c r="C170" s="59" t="s">
        <v>237</v>
      </c>
      <c r="D170" s="69"/>
      <c r="E170" s="69"/>
      <c r="F170" s="69"/>
      <c r="G170" s="69"/>
      <c r="H170" s="69"/>
      <c r="I170" s="73"/>
      <c r="J170" s="78">
        <v>35000.0</v>
      </c>
    </row>
    <row r="171" ht="15.75" customHeight="1">
      <c r="A171" s="72"/>
      <c r="B171" s="69"/>
      <c r="C171" s="59" t="s">
        <v>238</v>
      </c>
      <c r="D171" s="69"/>
      <c r="E171" s="69"/>
      <c r="F171" s="69"/>
      <c r="G171" s="69"/>
      <c r="H171" s="69"/>
      <c r="I171" s="73"/>
      <c r="J171" s="73"/>
    </row>
    <row r="172" ht="15.75" customHeight="1">
      <c r="A172" s="72"/>
      <c r="B172" s="69"/>
      <c r="C172" s="75" t="s">
        <v>239</v>
      </c>
      <c r="D172" s="69"/>
      <c r="E172" s="69"/>
      <c r="F172" s="69"/>
      <c r="G172" s="69"/>
      <c r="H172" s="69"/>
      <c r="I172" s="73"/>
      <c r="J172" s="73"/>
    </row>
    <row r="173" ht="15.75" customHeight="1">
      <c r="A173" s="57"/>
      <c r="B173" s="50"/>
      <c r="C173" s="50"/>
      <c r="D173" s="50"/>
      <c r="E173" s="50"/>
      <c r="F173" s="50"/>
      <c r="G173" s="50"/>
      <c r="H173" s="50"/>
      <c r="I173" s="50"/>
      <c r="J173" s="52"/>
    </row>
    <row r="174" ht="15.75" customHeight="1">
      <c r="A174" s="71" t="s">
        <v>240</v>
      </c>
      <c r="B174" s="50"/>
      <c r="C174" s="50"/>
      <c r="D174" s="50"/>
      <c r="E174" s="50"/>
      <c r="F174" s="50"/>
      <c r="G174" s="50"/>
      <c r="H174" s="50"/>
      <c r="I174" s="50"/>
      <c r="J174" s="65" t="str">
        <f>SUM(J170:J172)</f>
        <v>₹ 35,000.00</v>
      </c>
    </row>
    <row r="175" ht="15.75" customHeight="1">
      <c r="A175" s="57"/>
      <c r="B175" s="50"/>
      <c r="C175" s="50"/>
      <c r="D175" s="50"/>
      <c r="E175" s="50"/>
      <c r="F175" s="50"/>
      <c r="G175" s="50"/>
      <c r="H175" s="50"/>
      <c r="I175" s="50"/>
      <c r="J175" s="52"/>
    </row>
    <row r="176" ht="15.75" customHeight="1">
      <c r="A176" s="79" t="s">
        <v>114</v>
      </c>
      <c r="B176" s="80" t="s">
        <v>241</v>
      </c>
      <c r="C176" s="50"/>
      <c r="D176" s="50"/>
      <c r="E176" s="50"/>
      <c r="F176" s="50"/>
      <c r="G176" s="50"/>
      <c r="H176" s="50"/>
      <c r="I176" s="50"/>
      <c r="J176" s="52"/>
    </row>
    <row r="177" ht="15.75" customHeight="1">
      <c r="A177" s="81"/>
      <c r="B177" s="50"/>
      <c r="C177" s="50"/>
      <c r="D177" s="50"/>
      <c r="E177" s="50"/>
      <c r="F177" s="50"/>
      <c r="G177" s="50"/>
      <c r="H177" s="50"/>
      <c r="I177" s="50"/>
      <c r="J177" s="52"/>
    </row>
    <row r="178" ht="15.75" customHeight="1">
      <c r="A178" s="82">
        <v>1.0</v>
      </c>
      <c r="B178" s="83" t="s">
        <v>242</v>
      </c>
      <c r="C178" s="84"/>
      <c r="D178" s="84"/>
      <c r="E178" s="84"/>
      <c r="F178" s="84"/>
      <c r="G178" s="84"/>
      <c r="H178" s="84"/>
      <c r="I178" s="85"/>
      <c r="J178" s="85"/>
    </row>
    <row r="179" ht="15.75" customHeight="1">
      <c r="A179" s="86"/>
      <c r="B179" s="84"/>
      <c r="C179" s="83" t="s">
        <v>243</v>
      </c>
      <c r="D179" s="87"/>
      <c r="E179" s="87"/>
      <c r="F179" s="87"/>
      <c r="G179" s="87"/>
      <c r="H179" s="87"/>
      <c r="I179" s="88"/>
      <c r="J179" s="62" t="s">
        <v>53</v>
      </c>
    </row>
    <row r="180" ht="15.75" customHeight="1">
      <c r="A180" s="86"/>
      <c r="B180" s="84"/>
      <c r="C180" s="83" t="s">
        <v>244</v>
      </c>
      <c r="D180" s="87">
        <v>17.0</v>
      </c>
      <c r="E180" s="87">
        <v>2.0</v>
      </c>
      <c r="F180" s="87">
        <v>1.0</v>
      </c>
      <c r="G180" s="84" t="str">
        <f t="shared" ref="G180:G182" si="24">D180*E180*F180</f>
        <v>34</v>
      </c>
      <c r="H180" s="84" t="s">
        <v>245</v>
      </c>
      <c r="I180" s="85">
        <v>600.0</v>
      </c>
      <c r="J180" s="62" t="s">
        <v>53</v>
      </c>
    </row>
    <row r="181" ht="15.75" customHeight="1">
      <c r="A181" s="86"/>
      <c r="B181" s="84"/>
      <c r="C181" s="83" t="s">
        <v>246</v>
      </c>
      <c r="D181" s="87">
        <v>17.0</v>
      </c>
      <c r="E181" s="87">
        <v>2.0</v>
      </c>
      <c r="F181" s="87">
        <v>1.0</v>
      </c>
      <c r="G181" s="84" t="str">
        <f t="shared" si="24"/>
        <v>34</v>
      </c>
      <c r="H181" s="84" t="s">
        <v>245</v>
      </c>
      <c r="I181" s="85">
        <v>600.0</v>
      </c>
      <c r="J181" s="62" t="s">
        <v>53</v>
      </c>
    </row>
    <row r="182" ht="15.75" customHeight="1">
      <c r="A182" s="86"/>
      <c r="B182" s="84" t="s">
        <v>247</v>
      </c>
      <c r="C182" s="84" t="s">
        <v>248</v>
      </c>
      <c r="D182" s="87">
        <v>4.0</v>
      </c>
      <c r="E182" s="87">
        <v>4.0</v>
      </c>
      <c r="F182" s="87">
        <v>2.0</v>
      </c>
      <c r="G182" s="84" t="str">
        <f t="shared" si="24"/>
        <v>32</v>
      </c>
      <c r="H182" s="84" t="s">
        <v>245</v>
      </c>
      <c r="I182" s="85">
        <v>400.0</v>
      </c>
      <c r="J182" s="62" t="s">
        <v>53</v>
      </c>
    </row>
    <row r="183" ht="15.75" customHeight="1">
      <c r="A183" s="82">
        <v>2.0</v>
      </c>
      <c r="B183" s="83" t="s">
        <v>249</v>
      </c>
      <c r="C183" s="84"/>
      <c r="D183" s="84"/>
      <c r="E183" s="84"/>
      <c r="F183" s="84"/>
      <c r="G183" s="84"/>
      <c r="H183" s="84"/>
      <c r="I183" s="85"/>
      <c r="J183" s="62" t="s">
        <v>53</v>
      </c>
    </row>
    <row r="184" ht="15.75" customHeight="1">
      <c r="A184" s="82" t="s">
        <v>64</v>
      </c>
      <c r="B184" s="83" t="s">
        <v>250</v>
      </c>
      <c r="C184" s="83"/>
      <c r="D184" s="84"/>
      <c r="E184" s="84"/>
      <c r="F184" s="84"/>
      <c r="G184" s="84"/>
      <c r="H184" s="84"/>
      <c r="I184" s="85"/>
      <c r="J184" s="62" t="s">
        <v>53</v>
      </c>
    </row>
    <row r="185" ht="15.75" customHeight="1">
      <c r="A185" s="82" t="s">
        <v>83</v>
      </c>
      <c r="B185" s="83" t="s">
        <v>251</v>
      </c>
      <c r="C185" s="89" t="s">
        <v>252</v>
      </c>
      <c r="D185" s="87">
        <v>17.0</v>
      </c>
      <c r="E185" s="87">
        <v>2.0</v>
      </c>
      <c r="F185" s="87">
        <v>1.0</v>
      </c>
      <c r="G185" s="84" t="str">
        <f t="shared" ref="G185:G186" si="25">D185*E185*F185</f>
        <v>34</v>
      </c>
      <c r="H185" s="84" t="s">
        <v>245</v>
      </c>
      <c r="I185" s="85">
        <v>2200.0</v>
      </c>
      <c r="J185" s="61" t="str">
        <f>I185*G185</f>
        <v>₹ 74,800.00</v>
      </c>
    </row>
    <row r="186" ht="15.75" customHeight="1">
      <c r="A186" s="86"/>
      <c r="B186" s="83" t="s">
        <v>253</v>
      </c>
      <c r="C186" s="83" t="s">
        <v>254</v>
      </c>
      <c r="D186" s="87">
        <v>17.0</v>
      </c>
      <c r="E186" s="87">
        <v>2.0</v>
      </c>
      <c r="F186" s="87">
        <v>1.0</v>
      </c>
      <c r="G186" s="84" t="str">
        <f t="shared" si="25"/>
        <v>34</v>
      </c>
      <c r="H186" s="84" t="s">
        <v>245</v>
      </c>
      <c r="I186" s="85">
        <v>400.0</v>
      </c>
      <c r="J186" s="62" t="s">
        <v>53</v>
      </c>
    </row>
    <row r="187" ht="15.75" customHeight="1">
      <c r="A187" s="86"/>
      <c r="B187" s="84"/>
      <c r="C187" s="89" t="s">
        <v>239</v>
      </c>
      <c r="D187" s="84"/>
      <c r="E187" s="84"/>
      <c r="F187" s="84"/>
      <c r="G187" s="84"/>
      <c r="H187" s="84"/>
      <c r="I187" s="85"/>
      <c r="J187" s="62" t="s">
        <v>53</v>
      </c>
    </row>
    <row r="188" ht="15.75" customHeight="1">
      <c r="A188" s="81"/>
      <c r="B188" s="50"/>
      <c r="C188" s="50"/>
      <c r="D188" s="50"/>
      <c r="E188" s="50"/>
      <c r="F188" s="50"/>
      <c r="G188" s="50"/>
      <c r="H188" s="50"/>
      <c r="I188" s="50"/>
      <c r="J188" s="52"/>
    </row>
    <row r="189" ht="15.75" customHeight="1">
      <c r="A189" s="90" t="s">
        <v>255</v>
      </c>
      <c r="B189" s="50"/>
      <c r="C189" s="50"/>
      <c r="D189" s="50"/>
      <c r="E189" s="50"/>
      <c r="F189" s="50"/>
      <c r="G189" s="50"/>
      <c r="H189" s="50"/>
      <c r="I189" s="50"/>
      <c r="J189" s="91" t="str">
        <f>SUM(J178:J188)</f>
        <v>₹ 74,800.00</v>
      </c>
    </row>
    <row r="190" ht="15.75" customHeight="1">
      <c r="A190" s="57"/>
      <c r="B190" s="50"/>
      <c r="C190" s="50"/>
      <c r="D190" s="50"/>
      <c r="E190" s="50"/>
      <c r="F190" s="50"/>
      <c r="G190" s="50"/>
      <c r="H190" s="50"/>
      <c r="I190" s="50"/>
      <c r="J190" s="52"/>
    </row>
    <row r="191" ht="15.75" customHeight="1">
      <c r="A191" s="55" t="s">
        <v>143</v>
      </c>
      <c r="B191" s="70" t="s">
        <v>256</v>
      </c>
      <c r="C191" s="50"/>
      <c r="D191" s="50"/>
      <c r="E191" s="50"/>
      <c r="F191" s="50"/>
      <c r="G191" s="50"/>
      <c r="H191" s="50"/>
      <c r="I191" s="50"/>
      <c r="J191" s="52"/>
    </row>
    <row r="192" ht="15.75" customHeight="1">
      <c r="A192" s="57"/>
      <c r="B192" s="50"/>
      <c r="C192" s="50"/>
      <c r="D192" s="50"/>
      <c r="E192" s="50"/>
      <c r="F192" s="50"/>
      <c r="G192" s="50"/>
      <c r="H192" s="50"/>
      <c r="I192" s="50"/>
      <c r="J192" s="52"/>
    </row>
    <row r="193" ht="15.75" customHeight="1">
      <c r="A193" s="58">
        <v>1.0</v>
      </c>
      <c r="B193" s="59" t="s">
        <v>257</v>
      </c>
      <c r="C193" s="59" t="s">
        <v>258</v>
      </c>
      <c r="D193" s="60"/>
      <c r="E193" s="60"/>
      <c r="F193" s="60"/>
      <c r="G193" s="60"/>
      <c r="H193" s="60"/>
      <c r="I193" s="61"/>
      <c r="J193" s="62" t="s">
        <v>53</v>
      </c>
    </row>
    <row r="194" ht="15.75" customHeight="1">
      <c r="A194" s="72"/>
      <c r="B194" s="69"/>
      <c r="C194" s="59" t="s">
        <v>259</v>
      </c>
      <c r="D194" s="69"/>
      <c r="E194" s="69"/>
      <c r="F194" s="69"/>
      <c r="G194" s="69"/>
      <c r="H194" s="69"/>
      <c r="I194" s="73"/>
      <c r="J194" s="62" t="s">
        <v>53</v>
      </c>
    </row>
    <row r="195" ht="15.75" customHeight="1">
      <c r="A195" s="72"/>
      <c r="B195" s="69"/>
      <c r="C195" s="59" t="s">
        <v>260</v>
      </c>
      <c r="D195" s="69"/>
      <c r="E195" s="69"/>
      <c r="F195" s="69"/>
      <c r="G195" s="69"/>
      <c r="H195" s="69"/>
      <c r="I195" s="73"/>
      <c r="J195" s="62" t="s">
        <v>53</v>
      </c>
    </row>
    <row r="196" ht="15.75" customHeight="1">
      <c r="A196" s="72"/>
      <c r="B196" s="69"/>
      <c r="C196" s="59" t="s">
        <v>261</v>
      </c>
      <c r="D196" s="69"/>
      <c r="E196" s="69"/>
      <c r="F196" s="69"/>
      <c r="G196" s="69"/>
      <c r="H196" s="69"/>
      <c r="I196" s="73"/>
      <c r="J196" s="62" t="s">
        <v>53</v>
      </c>
    </row>
    <row r="197" ht="15.75" customHeight="1">
      <c r="A197" s="72"/>
      <c r="B197" s="69"/>
      <c r="C197" s="59" t="s">
        <v>262</v>
      </c>
      <c r="D197" s="60"/>
      <c r="E197" s="60"/>
      <c r="F197" s="60"/>
      <c r="G197" s="60"/>
      <c r="H197" s="60"/>
      <c r="I197" s="61"/>
      <c r="J197" s="62" t="s">
        <v>53</v>
      </c>
    </row>
    <row r="198" ht="15.75" customHeight="1">
      <c r="A198" s="72"/>
      <c r="B198" s="69"/>
      <c r="C198" s="59" t="s">
        <v>263</v>
      </c>
      <c r="D198" s="60"/>
      <c r="E198" s="60"/>
      <c r="F198" s="60"/>
      <c r="G198" s="60"/>
      <c r="H198" s="60"/>
      <c r="I198" s="61"/>
      <c r="J198" s="62" t="s">
        <v>53</v>
      </c>
    </row>
    <row r="199" ht="15.75" customHeight="1">
      <c r="A199" s="72"/>
      <c r="B199" s="69"/>
      <c r="C199" s="75" t="s">
        <v>264</v>
      </c>
      <c r="D199" s="69"/>
      <c r="E199" s="69"/>
      <c r="F199" s="69"/>
      <c r="G199" s="69"/>
      <c r="H199" s="69"/>
      <c r="I199" s="73"/>
      <c r="J199" s="73"/>
    </row>
    <row r="200" ht="15.75" customHeight="1">
      <c r="A200" s="57"/>
      <c r="B200" s="50"/>
      <c r="C200" s="50"/>
      <c r="D200" s="50"/>
      <c r="E200" s="50"/>
      <c r="F200" s="50"/>
      <c r="G200" s="50"/>
      <c r="H200" s="50"/>
      <c r="I200" s="50"/>
      <c r="J200" s="52"/>
    </row>
    <row r="201" ht="15.75" customHeight="1">
      <c r="A201" s="71" t="s">
        <v>265</v>
      </c>
      <c r="B201" s="50"/>
      <c r="C201" s="50"/>
      <c r="D201" s="50"/>
      <c r="E201" s="50"/>
      <c r="F201" s="50"/>
      <c r="G201" s="50"/>
      <c r="H201" s="50"/>
      <c r="I201" s="50"/>
      <c r="J201" s="65" t="str">
        <f>SUM(J193:J199)</f>
        <v>₹ 0.00</v>
      </c>
    </row>
    <row r="202" ht="15.75" customHeight="1">
      <c r="A202" s="57"/>
      <c r="B202" s="50"/>
      <c r="C202" s="50"/>
      <c r="D202" s="50"/>
      <c r="E202" s="50"/>
      <c r="F202" s="50"/>
      <c r="G202" s="50"/>
      <c r="H202" s="50"/>
      <c r="I202" s="50"/>
      <c r="J202" s="52"/>
    </row>
    <row r="203" ht="15.75" customHeight="1">
      <c r="A203" s="55" t="s">
        <v>149</v>
      </c>
      <c r="B203" s="70" t="s">
        <v>266</v>
      </c>
      <c r="C203" s="50"/>
      <c r="D203" s="50"/>
      <c r="E203" s="50"/>
      <c r="F203" s="50"/>
      <c r="G203" s="50"/>
      <c r="H203" s="50"/>
      <c r="I203" s="50"/>
      <c r="J203" s="52"/>
    </row>
    <row r="204" ht="15.75" customHeight="1">
      <c r="A204" s="57"/>
      <c r="B204" s="50"/>
      <c r="C204" s="50"/>
      <c r="D204" s="50"/>
      <c r="E204" s="50"/>
      <c r="F204" s="50"/>
      <c r="G204" s="50"/>
      <c r="H204" s="50"/>
      <c r="I204" s="50"/>
      <c r="J204" s="52"/>
    </row>
    <row r="205" ht="15.75" customHeight="1">
      <c r="A205" s="72"/>
      <c r="B205" s="59" t="s">
        <v>48</v>
      </c>
      <c r="C205" s="92" t="s">
        <v>267</v>
      </c>
      <c r="D205" s="69"/>
      <c r="E205" s="69"/>
      <c r="F205" s="69"/>
      <c r="G205" s="69"/>
      <c r="H205" s="69"/>
      <c r="I205" s="73"/>
      <c r="J205" s="73"/>
    </row>
    <row r="206" ht="15.75" customHeight="1">
      <c r="A206" s="72"/>
      <c r="B206" s="69"/>
      <c r="C206" s="59" t="s">
        <v>268</v>
      </c>
      <c r="D206" s="69"/>
      <c r="E206" s="69"/>
      <c r="F206" s="69"/>
      <c r="G206" s="60">
        <v>19.0</v>
      </c>
      <c r="H206" s="60" t="s">
        <v>269</v>
      </c>
      <c r="I206" s="61">
        <v>800.0</v>
      </c>
      <c r="J206" s="61" t="str">
        <f t="shared" ref="J206:J209" si="26">I206*G206</f>
        <v>₹ 15,200.00</v>
      </c>
    </row>
    <row r="207" ht="15.75" customHeight="1">
      <c r="A207" s="72"/>
      <c r="B207" s="69"/>
      <c r="C207" s="59" t="s">
        <v>270</v>
      </c>
      <c r="D207" s="69"/>
      <c r="E207" s="69"/>
      <c r="F207" s="69"/>
      <c r="G207" s="60">
        <v>15.0</v>
      </c>
      <c r="H207" s="60" t="s">
        <v>269</v>
      </c>
      <c r="I207" s="61">
        <v>700.0</v>
      </c>
      <c r="J207" s="61" t="str">
        <f t="shared" si="26"/>
        <v>₹ 10,500.00</v>
      </c>
    </row>
    <row r="208" ht="15.75" customHeight="1">
      <c r="A208" s="72"/>
      <c r="B208" s="69"/>
      <c r="C208" s="59" t="s">
        <v>271</v>
      </c>
      <c r="D208" s="69"/>
      <c r="E208" s="69"/>
      <c r="F208" s="69"/>
      <c r="G208" s="60">
        <v>15.0</v>
      </c>
      <c r="H208" s="60" t="s">
        <v>269</v>
      </c>
      <c r="I208" s="61">
        <v>700.0</v>
      </c>
      <c r="J208" s="61" t="str">
        <f t="shared" si="26"/>
        <v>₹ 10,500.00</v>
      </c>
    </row>
    <row r="209" ht="15.75" customHeight="1">
      <c r="A209" s="72"/>
      <c r="B209" s="69"/>
      <c r="C209" s="59" t="s">
        <v>272</v>
      </c>
      <c r="D209" s="69"/>
      <c r="E209" s="69"/>
      <c r="F209" s="69"/>
      <c r="G209" s="60">
        <v>15.0</v>
      </c>
      <c r="H209" s="60" t="s">
        <v>269</v>
      </c>
      <c r="I209" s="61">
        <v>700.0</v>
      </c>
      <c r="J209" s="61" t="str">
        <f t="shared" si="26"/>
        <v>₹ 10,500.00</v>
      </c>
    </row>
    <row r="210" ht="15.75" customHeight="1">
      <c r="A210" s="72"/>
      <c r="B210" s="59" t="s">
        <v>64</v>
      </c>
      <c r="C210" s="92" t="s">
        <v>273</v>
      </c>
      <c r="D210" s="69"/>
      <c r="E210" s="69"/>
      <c r="F210" s="69"/>
      <c r="G210" s="69"/>
      <c r="H210" s="69"/>
      <c r="I210" s="73"/>
      <c r="J210" s="73"/>
    </row>
    <row r="211" ht="15.75" customHeight="1">
      <c r="A211" s="72"/>
      <c r="B211" s="69"/>
      <c r="C211" s="59" t="s">
        <v>274</v>
      </c>
      <c r="D211" s="69"/>
      <c r="E211" s="69"/>
      <c r="F211" s="69"/>
      <c r="G211" s="60">
        <v>19.0</v>
      </c>
      <c r="H211" s="60" t="s">
        <v>269</v>
      </c>
      <c r="I211" s="61">
        <v>300.0</v>
      </c>
      <c r="J211" s="61" t="str">
        <f t="shared" ref="J211:J214" si="27">I211*G211</f>
        <v>₹ 5,700.00</v>
      </c>
    </row>
    <row r="212" ht="15.75" customHeight="1">
      <c r="A212" s="72"/>
      <c r="B212" s="69"/>
      <c r="C212" s="59" t="s">
        <v>270</v>
      </c>
      <c r="D212" s="69"/>
      <c r="E212" s="69"/>
      <c r="F212" s="69"/>
      <c r="G212" s="60">
        <v>15.0</v>
      </c>
      <c r="H212" s="60" t="s">
        <v>269</v>
      </c>
      <c r="I212" s="61">
        <v>300.0</v>
      </c>
      <c r="J212" s="61" t="str">
        <f t="shared" si="27"/>
        <v>₹ 4,500.00</v>
      </c>
    </row>
    <row r="213" ht="15.75" customHeight="1">
      <c r="A213" s="72"/>
      <c r="B213" s="69"/>
      <c r="C213" s="59" t="s">
        <v>271</v>
      </c>
      <c r="D213" s="69"/>
      <c r="E213" s="69"/>
      <c r="F213" s="69"/>
      <c r="G213" s="60">
        <v>15.0</v>
      </c>
      <c r="H213" s="60" t="s">
        <v>269</v>
      </c>
      <c r="I213" s="61">
        <v>300.0</v>
      </c>
      <c r="J213" s="61" t="str">
        <f t="shared" si="27"/>
        <v>₹ 4,500.00</v>
      </c>
    </row>
    <row r="214" ht="15.75" customHeight="1">
      <c r="A214" s="72"/>
      <c r="B214" s="69"/>
      <c r="C214" s="59" t="s">
        <v>272</v>
      </c>
      <c r="D214" s="69"/>
      <c r="E214" s="69"/>
      <c r="F214" s="69"/>
      <c r="G214" s="60">
        <v>15.0</v>
      </c>
      <c r="H214" s="60" t="s">
        <v>269</v>
      </c>
      <c r="I214" s="61">
        <v>300.0</v>
      </c>
      <c r="J214" s="61" t="str">
        <f t="shared" si="27"/>
        <v>₹ 4,500.00</v>
      </c>
    </row>
    <row r="215" ht="15.75" customHeight="1">
      <c r="A215" s="72"/>
      <c r="B215" s="59" t="s">
        <v>83</v>
      </c>
      <c r="C215" s="92" t="s">
        <v>275</v>
      </c>
      <c r="D215" s="69"/>
      <c r="E215" s="69"/>
      <c r="F215" s="69"/>
      <c r="G215" s="69"/>
      <c r="H215" s="69"/>
      <c r="I215" s="73"/>
      <c r="J215" s="61">
        <v>25000.0</v>
      </c>
    </row>
    <row r="216" ht="15.75" customHeight="1">
      <c r="A216" s="93"/>
      <c r="B216" s="94"/>
      <c r="C216" s="75" t="s">
        <v>276</v>
      </c>
      <c r="D216" s="94"/>
      <c r="E216" s="94"/>
      <c r="F216" s="94"/>
      <c r="G216" s="94"/>
      <c r="H216" s="94"/>
      <c r="I216" s="95"/>
      <c r="J216" s="96"/>
    </row>
    <row r="217" ht="15.75" customHeight="1">
      <c r="A217" s="71" t="s">
        <v>277</v>
      </c>
      <c r="B217" s="50"/>
      <c r="C217" s="50"/>
      <c r="D217" s="50"/>
      <c r="E217" s="50"/>
      <c r="F217" s="50"/>
      <c r="G217" s="50"/>
      <c r="H217" s="50"/>
      <c r="I217" s="50"/>
      <c r="J217" s="65" t="str">
        <f>SUM(J205:J215)</f>
        <v>₹ 90,900.00</v>
      </c>
    </row>
    <row r="218" ht="15.75" customHeight="1">
      <c r="A218" s="72"/>
      <c r="B218" s="97"/>
      <c r="C218" s="94"/>
      <c r="D218" s="94"/>
      <c r="E218" s="94"/>
      <c r="F218" s="94"/>
      <c r="G218" s="94"/>
      <c r="H218" s="94"/>
      <c r="I218" s="95"/>
      <c r="J218" s="96"/>
    </row>
    <row r="219" ht="15.75" customHeight="1">
      <c r="A219" s="55" t="s">
        <v>149</v>
      </c>
      <c r="B219" s="70" t="s">
        <v>278</v>
      </c>
      <c r="C219" s="50"/>
      <c r="D219" s="50"/>
      <c r="E219" s="50"/>
      <c r="F219" s="50"/>
      <c r="G219" s="50"/>
      <c r="H219" s="50"/>
      <c r="I219" s="50"/>
      <c r="J219" s="52"/>
    </row>
    <row r="220" ht="15.75" customHeight="1">
      <c r="A220" s="58">
        <v>1.0</v>
      </c>
      <c r="B220" s="59" t="s">
        <v>279</v>
      </c>
      <c r="C220" s="59" t="s">
        <v>130</v>
      </c>
      <c r="D220" s="60">
        <v>4.0</v>
      </c>
      <c r="E220" s="60">
        <v>2.0</v>
      </c>
      <c r="F220" s="60">
        <v>1.0</v>
      </c>
      <c r="G220" s="60">
        <v>4.0</v>
      </c>
      <c r="H220" s="60" t="s">
        <v>126</v>
      </c>
      <c r="I220" s="61">
        <v>7000.0</v>
      </c>
      <c r="J220" s="61" t="str">
        <f t="shared" ref="J220:J225" si="28">I220*G220</f>
        <v>₹ 28,000.00</v>
      </c>
    </row>
    <row r="221" ht="15.75" customHeight="1">
      <c r="A221" s="58">
        <v>2.0</v>
      </c>
      <c r="B221" s="59" t="s">
        <v>280</v>
      </c>
      <c r="C221" s="59" t="s">
        <v>130</v>
      </c>
      <c r="D221" s="60">
        <v>7.0</v>
      </c>
      <c r="E221" s="60">
        <v>1.0</v>
      </c>
      <c r="F221" s="60">
        <v>1.0</v>
      </c>
      <c r="G221" s="60" t="str">
        <f>F221*E221*D221</f>
        <v>7</v>
      </c>
      <c r="H221" s="60" t="s">
        <v>126</v>
      </c>
      <c r="I221" s="61">
        <v>6000.0</v>
      </c>
      <c r="J221" s="61" t="str">
        <f t="shared" si="28"/>
        <v>₹ 42,000.00</v>
      </c>
    </row>
    <row r="222" ht="15.75" customHeight="1">
      <c r="A222" s="58">
        <v>3.0</v>
      </c>
      <c r="B222" s="59" t="s">
        <v>281</v>
      </c>
      <c r="C222" s="59" t="s">
        <v>130</v>
      </c>
      <c r="D222" s="60">
        <v>1.0</v>
      </c>
      <c r="E222" s="60">
        <v>1.0</v>
      </c>
      <c r="F222" s="60">
        <v>1.0</v>
      </c>
      <c r="G222" s="60">
        <v>1.0</v>
      </c>
      <c r="H222" s="60" t="s">
        <v>126</v>
      </c>
      <c r="I222" s="61">
        <v>20000.0</v>
      </c>
      <c r="J222" s="61" t="str">
        <f t="shared" si="28"/>
        <v>₹ 20,000.00</v>
      </c>
    </row>
    <row r="223" ht="15.75" customHeight="1">
      <c r="A223" s="58">
        <v>4.0</v>
      </c>
      <c r="B223" s="59" t="s">
        <v>282</v>
      </c>
      <c r="C223" s="59" t="s">
        <v>130</v>
      </c>
      <c r="D223" s="60">
        <v>1.0</v>
      </c>
      <c r="E223" s="60">
        <v>1.0</v>
      </c>
      <c r="F223" s="60">
        <v>1.0</v>
      </c>
      <c r="G223" s="60" t="str">
        <f t="shared" ref="G223:G226" si="29">F223*E223*D223</f>
        <v>1</v>
      </c>
      <c r="H223" s="60" t="s">
        <v>126</v>
      </c>
      <c r="I223" s="61">
        <v>20000.0</v>
      </c>
      <c r="J223" s="61" t="str">
        <f t="shared" si="28"/>
        <v>₹ 20,000.00</v>
      </c>
    </row>
    <row r="224" ht="15.75" customHeight="1">
      <c r="A224" s="58">
        <v>4.0</v>
      </c>
      <c r="B224" s="59" t="s">
        <v>283</v>
      </c>
      <c r="C224" s="59" t="s">
        <v>130</v>
      </c>
      <c r="D224" s="60">
        <v>1.0</v>
      </c>
      <c r="E224" s="60">
        <v>1.0</v>
      </c>
      <c r="F224" s="60">
        <v>1.0</v>
      </c>
      <c r="G224" s="60" t="str">
        <f t="shared" si="29"/>
        <v>1</v>
      </c>
      <c r="H224" s="60" t="s">
        <v>126</v>
      </c>
      <c r="I224" s="61">
        <v>20000.0</v>
      </c>
      <c r="J224" s="61" t="str">
        <f t="shared" si="28"/>
        <v>₹ 20,000.00</v>
      </c>
    </row>
    <row r="225" ht="15.75" customHeight="1">
      <c r="A225" s="58">
        <v>4.0</v>
      </c>
      <c r="B225" s="59" t="s">
        <v>284</v>
      </c>
      <c r="C225" s="59" t="s">
        <v>130</v>
      </c>
      <c r="D225" s="60">
        <v>1.0</v>
      </c>
      <c r="E225" s="60">
        <v>1.0</v>
      </c>
      <c r="F225" s="60">
        <v>3.0</v>
      </c>
      <c r="G225" s="60" t="str">
        <f t="shared" si="29"/>
        <v>3</v>
      </c>
      <c r="H225" s="60" t="s">
        <v>126</v>
      </c>
      <c r="I225" s="61">
        <v>15000.0</v>
      </c>
      <c r="J225" s="61" t="str">
        <f t="shared" si="28"/>
        <v>₹ 45,000.00</v>
      </c>
    </row>
    <row r="226" ht="15.75" customHeight="1">
      <c r="A226" s="58">
        <v>5.0</v>
      </c>
      <c r="B226" s="83" t="s">
        <v>285</v>
      </c>
      <c r="C226" s="83" t="s">
        <v>87</v>
      </c>
      <c r="D226" s="87">
        <v>2.0</v>
      </c>
      <c r="E226" s="87">
        <v>5.0</v>
      </c>
      <c r="F226" s="87">
        <v>1.0</v>
      </c>
      <c r="G226" s="87" t="str">
        <f t="shared" si="29"/>
        <v>10</v>
      </c>
      <c r="H226" s="87" t="s">
        <v>52</v>
      </c>
      <c r="I226" s="88">
        <v>2100.0</v>
      </c>
      <c r="J226" s="62" t="s">
        <v>53</v>
      </c>
    </row>
    <row r="227" ht="15.75" customHeight="1">
      <c r="A227" s="58">
        <v>6.0</v>
      </c>
      <c r="B227" s="83" t="s">
        <v>90</v>
      </c>
      <c r="C227" s="83" t="s">
        <v>91</v>
      </c>
      <c r="D227" s="84"/>
      <c r="E227" s="84"/>
      <c r="F227" s="84"/>
      <c r="G227" s="87">
        <v>1.0</v>
      </c>
      <c r="H227" s="87" t="s">
        <v>52</v>
      </c>
      <c r="I227" s="88">
        <v>15000.0</v>
      </c>
      <c r="J227" s="62" t="s">
        <v>53</v>
      </c>
    </row>
    <row r="228" ht="15.75" customHeight="1">
      <c r="A228" s="58">
        <v>7.0</v>
      </c>
      <c r="B228" s="59" t="s">
        <v>286</v>
      </c>
      <c r="C228" s="69"/>
      <c r="D228" s="69">
        <v>1.0</v>
      </c>
      <c r="E228" s="69">
        <v>1.0</v>
      </c>
      <c r="F228" s="60">
        <v>2.0</v>
      </c>
      <c r="G228" s="60" t="str">
        <f>F228*E228*D228</f>
        <v>2</v>
      </c>
      <c r="H228" s="60" t="s">
        <v>52</v>
      </c>
      <c r="I228" s="61">
        <v>8000.0</v>
      </c>
      <c r="J228" s="62" t="s">
        <v>53</v>
      </c>
    </row>
    <row r="229" ht="15.75" customHeight="1">
      <c r="A229" s="98">
        <v>8.0</v>
      </c>
      <c r="B229" s="99" t="s">
        <v>287</v>
      </c>
      <c r="C229" s="99" t="s">
        <v>288</v>
      </c>
      <c r="D229" s="100"/>
      <c r="E229" s="100"/>
      <c r="F229" s="100"/>
      <c r="G229" s="101">
        <v>40.0</v>
      </c>
      <c r="H229" s="101" t="s">
        <v>126</v>
      </c>
      <c r="I229" s="102">
        <v>800.0</v>
      </c>
      <c r="J229" s="61" t="str">
        <f>I229*G229</f>
        <v>₹ 32,000.00</v>
      </c>
    </row>
    <row r="230" ht="15.75" customHeight="1">
      <c r="A230" s="58">
        <v>9.0</v>
      </c>
      <c r="B230" s="59" t="s">
        <v>289</v>
      </c>
      <c r="C230" s="59"/>
      <c r="D230" s="69"/>
      <c r="E230" s="69"/>
      <c r="F230" s="69"/>
      <c r="G230" s="60"/>
      <c r="H230" s="60" t="s">
        <v>126</v>
      </c>
      <c r="I230" s="73"/>
      <c r="J230" s="62">
        <v>20000.0</v>
      </c>
    </row>
    <row r="231" ht="15.75" customHeight="1">
      <c r="A231" s="66"/>
      <c r="B231" s="50"/>
      <c r="C231" s="50"/>
      <c r="D231" s="50"/>
      <c r="E231" s="50"/>
      <c r="F231" s="50"/>
      <c r="G231" s="50"/>
      <c r="H231" s="50"/>
      <c r="I231" s="50"/>
      <c r="J231" s="52"/>
    </row>
    <row r="232" ht="15.75" customHeight="1">
      <c r="A232" s="71" t="s">
        <v>290</v>
      </c>
      <c r="B232" s="50"/>
      <c r="C232" s="50"/>
      <c r="D232" s="50"/>
      <c r="E232" s="50"/>
      <c r="F232" s="50"/>
      <c r="G232" s="50"/>
      <c r="H232" s="50"/>
      <c r="I232" s="50"/>
      <c r="J232" s="65" t="str">
        <f>SUM(J220:J230)</f>
        <v>₹ 227,000.00</v>
      </c>
    </row>
    <row r="233" ht="15.75" customHeight="1">
      <c r="A233" s="66"/>
      <c r="B233" s="50"/>
      <c r="C233" s="50"/>
      <c r="D233" s="50"/>
      <c r="E233" s="50"/>
      <c r="F233" s="50"/>
      <c r="G233" s="50"/>
      <c r="H233" s="50"/>
      <c r="I233" s="50"/>
      <c r="J233" s="52"/>
    </row>
    <row r="234" ht="15.75" customHeight="1">
      <c r="A234" s="55" t="s">
        <v>149</v>
      </c>
      <c r="B234" s="70" t="s">
        <v>291</v>
      </c>
      <c r="C234" s="50"/>
      <c r="D234" s="50"/>
      <c r="E234" s="50"/>
      <c r="F234" s="50"/>
      <c r="G234" s="50"/>
      <c r="H234" s="50"/>
      <c r="I234" s="50"/>
      <c r="J234" s="52"/>
    </row>
    <row r="235" ht="15.75" customHeight="1">
      <c r="A235" s="58">
        <v>1.0</v>
      </c>
      <c r="B235" s="69" t="s">
        <v>292</v>
      </c>
      <c r="C235" s="59" t="s">
        <v>293</v>
      </c>
      <c r="D235" s="69"/>
      <c r="E235" s="69"/>
      <c r="F235" s="69"/>
      <c r="G235" s="60">
        <v>1000.0</v>
      </c>
      <c r="H235" s="60" t="s">
        <v>52</v>
      </c>
      <c r="I235" s="61">
        <v>8.0</v>
      </c>
      <c r="J235" s="61" t="str">
        <f>I235*G235</f>
        <v>₹ 8,000.00</v>
      </c>
    </row>
    <row r="236" ht="15.75" customHeight="1">
      <c r="A236" s="58">
        <v>2.0</v>
      </c>
      <c r="B236" s="69" t="s">
        <v>294</v>
      </c>
      <c r="C236" s="59" t="s">
        <v>295</v>
      </c>
      <c r="D236" s="69"/>
      <c r="E236" s="69"/>
      <c r="F236" s="69"/>
      <c r="G236" s="69"/>
      <c r="H236" s="60"/>
      <c r="I236" s="73"/>
      <c r="J236" s="62" t="s">
        <v>53</v>
      </c>
    </row>
    <row r="237" ht="15.75" customHeight="1">
      <c r="A237" s="58">
        <v>3.0</v>
      </c>
      <c r="B237" s="59" t="s">
        <v>296</v>
      </c>
      <c r="C237" s="59" t="s">
        <v>297</v>
      </c>
      <c r="D237" s="69"/>
      <c r="E237" s="69"/>
      <c r="F237" s="69"/>
      <c r="G237" s="69"/>
      <c r="H237" s="60" t="s">
        <v>52</v>
      </c>
      <c r="I237" s="73"/>
      <c r="J237" s="62" t="s">
        <v>53</v>
      </c>
    </row>
    <row r="238" ht="15.75" customHeight="1">
      <c r="A238" s="58">
        <v>4.0</v>
      </c>
      <c r="B238" s="69" t="s">
        <v>298</v>
      </c>
      <c r="C238" s="59" t="s">
        <v>299</v>
      </c>
      <c r="D238" s="69"/>
      <c r="E238" s="69"/>
      <c r="F238" s="69"/>
      <c r="G238" s="69"/>
      <c r="H238" s="60" t="s">
        <v>52</v>
      </c>
      <c r="I238" s="73"/>
      <c r="J238" s="62" t="s">
        <v>53</v>
      </c>
    </row>
    <row r="239" ht="15.75" customHeight="1">
      <c r="A239" s="58">
        <v>5.0</v>
      </c>
      <c r="B239" s="69" t="s">
        <v>300</v>
      </c>
      <c r="C239" s="59" t="s">
        <v>301</v>
      </c>
      <c r="D239" s="69"/>
      <c r="E239" s="69"/>
      <c r="F239" s="69"/>
      <c r="G239" s="69"/>
      <c r="H239" s="60" t="s">
        <v>52</v>
      </c>
      <c r="I239" s="73"/>
      <c r="J239" s="62" t="s">
        <v>53</v>
      </c>
    </row>
    <row r="240" ht="15.75" customHeight="1">
      <c r="A240" s="58">
        <v>6.0</v>
      </c>
      <c r="B240" s="69" t="s">
        <v>302</v>
      </c>
      <c r="C240" s="59" t="s">
        <v>303</v>
      </c>
      <c r="D240" s="69"/>
      <c r="E240" s="69"/>
      <c r="F240" s="69"/>
      <c r="G240" s="69"/>
      <c r="H240" s="60" t="s">
        <v>52</v>
      </c>
      <c r="I240" s="73"/>
      <c r="J240" s="62" t="s">
        <v>53</v>
      </c>
    </row>
    <row r="241" ht="15.75" customHeight="1">
      <c r="A241" s="58">
        <v>7.0</v>
      </c>
      <c r="B241" s="69" t="s">
        <v>304</v>
      </c>
      <c r="C241" s="59" t="s">
        <v>305</v>
      </c>
      <c r="D241" s="69"/>
      <c r="E241" s="69"/>
      <c r="F241" s="69"/>
      <c r="G241" s="69"/>
      <c r="H241" s="60" t="s">
        <v>52</v>
      </c>
      <c r="I241" s="73"/>
      <c r="J241" s="62" t="s">
        <v>53</v>
      </c>
    </row>
    <row r="242" ht="15.75" customHeight="1">
      <c r="A242" s="58">
        <v>8.0</v>
      </c>
      <c r="B242" s="69" t="s">
        <v>306</v>
      </c>
      <c r="C242" s="59" t="s">
        <v>307</v>
      </c>
      <c r="D242" s="69"/>
      <c r="E242" s="69"/>
      <c r="F242" s="69"/>
      <c r="G242" s="69"/>
      <c r="H242" s="60" t="s">
        <v>52</v>
      </c>
      <c r="I242" s="73"/>
      <c r="J242" s="62" t="s">
        <v>53</v>
      </c>
    </row>
    <row r="243" ht="15.75" customHeight="1">
      <c r="A243" s="58">
        <v>9.0</v>
      </c>
      <c r="B243" s="69" t="s">
        <v>308</v>
      </c>
      <c r="C243" s="59" t="s">
        <v>309</v>
      </c>
      <c r="D243" s="69"/>
      <c r="E243" s="69"/>
      <c r="F243" s="69"/>
      <c r="G243" s="69"/>
      <c r="H243" s="69"/>
      <c r="I243" s="73"/>
      <c r="J243" s="62" t="s">
        <v>53</v>
      </c>
    </row>
    <row r="244" ht="15.75" customHeight="1">
      <c r="A244" s="58">
        <v>10.0</v>
      </c>
      <c r="B244" s="69" t="s">
        <v>310</v>
      </c>
      <c r="C244" s="59" t="s">
        <v>311</v>
      </c>
      <c r="D244" s="69"/>
      <c r="E244" s="69"/>
      <c r="F244" s="69"/>
      <c r="G244" s="69"/>
      <c r="H244" s="69"/>
      <c r="I244" s="73"/>
      <c r="J244" s="62" t="s">
        <v>53</v>
      </c>
    </row>
    <row r="245" ht="15.75" customHeight="1">
      <c r="A245" s="57"/>
      <c r="B245" s="50"/>
      <c r="C245" s="50"/>
      <c r="D245" s="50"/>
      <c r="E245" s="50"/>
      <c r="F245" s="50"/>
      <c r="G245" s="50"/>
      <c r="H245" s="50"/>
      <c r="I245" s="50"/>
      <c r="J245" s="52"/>
    </row>
    <row r="246" ht="15.75" customHeight="1">
      <c r="A246" s="71" t="s">
        <v>312</v>
      </c>
      <c r="B246" s="50"/>
      <c r="C246" s="50"/>
      <c r="D246" s="50"/>
      <c r="E246" s="50"/>
      <c r="F246" s="50"/>
      <c r="G246" s="50"/>
      <c r="H246" s="50"/>
      <c r="I246" s="50"/>
      <c r="J246" s="65" t="str">
        <f>SUM(J235:J244)</f>
        <v>₹ 8,000.00</v>
      </c>
    </row>
    <row r="247" ht="15.75" customHeight="1">
      <c r="A247" s="57"/>
      <c r="B247" s="50"/>
      <c r="C247" s="50"/>
      <c r="D247" s="50"/>
      <c r="E247" s="50"/>
      <c r="F247" s="50"/>
      <c r="G247" s="50"/>
      <c r="H247" s="50"/>
      <c r="I247" s="50"/>
      <c r="J247" s="52"/>
    </row>
    <row r="248" ht="15.75" customHeight="1">
      <c r="A248" s="103" t="s">
        <v>313</v>
      </c>
      <c r="B248" s="50"/>
      <c r="C248" s="50"/>
      <c r="D248" s="50"/>
      <c r="E248" s="50"/>
      <c r="F248" s="50"/>
      <c r="G248" s="50"/>
      <c r="H248" s="50"/>
      <c r="I248" s="50"/>
      <c r="J248" s="104" t="str">
        <f>J246+J232+J217+J201+J189+J174+J166+J159+J144+J126+J107</f>
        <v>₹ 2,034,998.00</v>
      </c>
    </row>
    <row r="249" ht="15.75" customHeight="1">
      <c r="A249" s="105"/>
      <c r="B249" s="50"/>
      <c r="C249" s="50"/>
      <c r="D249" s="50"/>
      <c r="E249" s="50"/>
      <c r="F249" s="50"/>
      <c r="G249" s="50"/>
      <c r="H249" s="50"/>
      <c r="I249" s="50"/>
      <c r="J249" s="52"/>
    </row>
    <row r="250" ht="15.75" customHeight="1">
      <c r="A250" s="103" t="s">
        <v>314</v>
      </c>
      <c r="B250" s="50"/>
      <c r="C250" s="50"/>
      <c r="D250" s="50"/>
      <c r="E250" s="50"/>
      <c r="F250" s="50"/>
      <c r="G250" s="50"/>
      <c r="H250" s="50"/>
      <c r="I250" s="50"/>
      <c r="J250" s="106" t="str">
        <f>J248*5%</f>
        <v>₹ 101,749.90</v>
      </c>
    </row>
    <row r="251" ht="15.75" customHeight="1">
      <c r="A251" s="57"/>
      <c r="B251" s="50"/>
      <c r="C251" s="50"/>
      <c r="D251" s="50"/>
      <c r="E251" s="50"/>
      <c r="F251" s="50"/>
      <c r="G251" s="50"/>
      <c r="H251" s="50"/>
      <c r="I251" s="50"/>
      <c r="J251" s="52"/>
    </row>
    <row r="252" ht="15.75" customHeight="1">
      <c r="A252" s="107" t="s">
        <v>315</v>
      </c>
      <c r="B252" s="50"/>
      <c r="C252" s="50"/>
      <c r="D252" s="50"/>
      <c r="E252" s="50"/>
      <c r="F252" s="50"/>
      <c r="G252" s="50"/>
      <c r="H252" s="50"/>
      <c r="I252" s="50"/>
      <c r="J252" s="108" t="str">
        <f>J248+J250</f>
        <v>₹ 2,136,747.90</v>
      </c>
    </row>
    <row r="253" ht="15.75" customHeight="1">
      <c r="A253" s="109"/>
      <c r="B253" s="110"/>
      <c r="C253" s="110"/>
      <c r="D253" s="110"/>
      <c r="E253" s="110"/>
      <c r="F253" s="110"/>
      <c r="G253" s="110"/>
      <c r="H253" s="110"/>
      <c r="I253" s="110"/>
      <c r="J253" s="110"/>
    </row>
    <row r="254" ht="15.75" customHeight="1">
      <c r="A254" s="111"/>
      <c r="B254" s="112"/>
      <c r="C254" s="112"/>
      <c r="D254" s="112"/>
      <c r="E254" s="112"/>
      <c r="F254" s="112"/>
      <c r="G254" s="112"/>
      <c r="H254" s="112"/>
      <c r="I254" s="112"/>
      <c r="J254" s="112"/>
    </row>
    <row r="255" ht="15.75" customHeight="1">
      <c r="A255" s="113"/>
      <c r="B255" s="114"/>
      <c r="C255" s="114"/>
      <c r="D255" s="114"/>
      <c r="E255" s="114"/>
      <c r="F255" s="114"/>
      <c r="G255" s="114"/>
      <c r="H255" s="114"/>
      <c r="I255" s="115"/>
      <c r="J255" s="115"/>
    </row>
  </sheetData>
  <mergeCells count="95">
    <mergeCell ref="A159:I159"/>
    <mergeCell ref="A160:J160"/>
    <mergeCell ref="B161:J161"/>
    <mergeCell ref="A162:J162"/>
    <mergeCell ref="A165:J165"/>
    <mergeCell ref="A166:I166"/>
    <mergeCell ref="A167:J167"/>
    <mergeCell ref="A142:J142"/>
    <mergeCell ref="A143:J143"/>
    <mergeCell ref="A144:I144"/>
    <mergeCell ref="A145:J145"/>
    <mergeCell ref="B146:J146"/>
    <mergeCell ref="A147:J147"/>
    <mergeCell ref="A158:J158"/>
    <mergeCell ref="A35:J35"/>
    <mergeCell ref="B36:J36"/>
    <mergeCell ref="B15:J15"/>
    <mergeCell ref="A25:J25"/>
    <mergeCell ref="A26:I26"/>
    <mergeCell ref="A27:J27"/>
    <mergeCell ref="B28:J28"/>
    <mergeCell ref="A33:J33"/>
    <mergeCell ref="A34:I34"/>
    <mergeCell ref="A68:I68"/>
    <mergeCell ref="A69:J69"/>
    <mergeCell ref="A37:J37"/>
    <mergeCell ref="A48:J48"/>
    <mergeCell ref="A49:I49"/>
    <mergeCell ref="A50:J50"/>
    <mergeCell ref="B51:J51"/>
    <mergeCell ref="A52:J52"/>
    <mergeCell ref="A67:J67"/>
    <mergeCell ref="A91:J91"/>
    <mergeCell ref="A92:I92"/>
    <mergeCell ref="B70:J70"/>
    <mergeCell ref="A71:J71"/>
    <mergeCell ref="A82:J82"/>
    <mergeCell ref="A83:I83"/>
    <mergeCell ref="A84:J84"/>
    <mergeCell ref="B85:J85"/>
    <mergeCell ref="A86:J86"/>
    <mergeCell ref="A108:J108"/>
    <mergeCell ref="B109:J109"/>
    <mergeCell ref="A93:J93"/>
    <mergeCell ref="B94:J94"/>
    <mergeCell ref="A95:J95"/>
    <mergeCell ref="A104:J104"/>
    <mergeCell ref="A105:I105"/>
    <mergeCell ref="A106:J106"/>
    <mergeCell ref="A107:I107"/>
    <mergeCell ref="A188:J188"/>
    <mergeCell ref="A189:I189"/>
    <mergeCell ref="A190:J190"/>
    <mergeCell ref="B191:J191"/>
    <mergeCell ref="A192:J192"/>
    <mergeCell ref="A200:J200"/>
    <mergeCell ref="A201:I201"/>
    <mergeCell ref="A233:J233"/>
    <mergeCell ref="B234:J234"/>
    <mergeCell ref="A202:J202"/>
    <mergeCell ref="B203:J203"/>
    <mergeCell ref="A204:J204"/>
    <mergeCell ref="A217:I217"/>
    <mergeCell ref="B219:J219"/>
    <mergeCell ref="A231:J231"/>
    <mergeCell ref="A232:I232"/>
    <mergeCell ref="A248:I248"/>
    <mergeCell ref="A249:J249"/>
    <mergeCell ref="A250:I250"/>
    <mergeCell ref="A251:J251"/>
    <mergeCell ref="A252:I252"/>
    <mergeCell ref="A253:J254"/>
    <mergeCell ref="A245:J245"/>
    <mergeCell ref="A246:I246"/>
    <mergeCell ref="A247:J247"/>
    <mergeCell ref="A1:J1"/>
    <mergeCell ref="A2:J2"/>
    <mergeCell ref="B4:J4"/>
    <mergeCell ref="A5:J5"/>
    <mergeCell ref="A12:J12"/>
    <mergeCell ref="A13:I13"/>
    <mergeCell ref="A14:J14"/>
    <mergeCell ref="A110:J110"/>
    <mergeCell ref="A125:J125"/>
    <mergeCell ref="A126:I126"/>
    <mergeCell ref="A127:J127"/>
    <mergeCell ref="B128:J128"/>
    <mergeCell ref="A129:J129"/>
    <mergeCell ref="B168:J168"/>
    <mergeCell ref="A169:J169"/>
    <mergeCell ref="A173:J173"/>
    <mergeCell ref="A174:I174"/>
    <mergeCell ref="A175:J175"/>
    <mergeCell ref="B176:J176"/>
    <mergeCell ref="A177:J177"/>
  </mergeCells>
  <dataValidations>
    <dataValidation type="list" allowBlank="1" showErrorMessage="1" sqref="H6:H11 H16:H24 H29:H32 H38:H47 H53:H56 H58:H66 H72:H75 H77:H80 H87:H90 H96:H99 H101:H103 H111:H124 H130:H135 H148 H151 H154 H187 H193 H197:H198 H220:H230 H235:H242">
      <formula1>"sq.ft,no.s"</formula1>
    </dataValidation>
    <dataValidation type="list" allowBlank="1" showErrorMessage="1" sqref="H57 H76 H100">
      <formula1>"sq.ft,no.s,LUMPSUM"</formula1>
    </dataValidation>
  </dataValidations>
  <printOptions/>
  <pageMargins bottom="0.75" footer="0.0" header="0.0" left="0.25" right="0.25" top="0.75"/>
  <pageSetup fitToHeight="0" paperSize="9" orientation="portrait"/>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3.0" topLeftCell="A4" activePane="bottomLeft" state="frozen"/>
      <selection activeCell="B5" sqref="B5" pane="bottomLeft"/>
    </sheetView>
  </sheetViews>
  <sheetFormatPr customHeight="1" defaultColWidth="14.43" defaultRowHeight="15.0"/>
  <cols>
    <col customWidth="1" min="1" max="1" width="26.57"/>
    <col customWidth="1" min="2" max="2" width="75.86"/>
    <col customWidth="1" min="3" max="3" width="153.43"/>
    <col customWidth="1" min="4" max="4" width="44.14"/>
    <col customWidth="1" min="5" max="5" width="49.86"/>
    <col customWidth="1" min="6" max="11" width="12.57"/>
  </cols>
  <sheetData>
    <row r="1">
      <c r="A1" s="49" t="s">
        <v>316</v>
      </c>
      <c r="B1" s="50"/>
      <c r="C1" s="50"/>
      <c r="D1" s="50"/>
      <c r="E1" s="50"/>
    </row>
    <row r="2">
      <c r="A2" s="51" t="s">
        <v>37</v>
      </c>
      <c r="B2" s="50"/>
      <c r="C2" s="50"/>
      <c r="D2" s="50"/>
      <c r="E2" s="52"/>
    </row>
    <row r="3">
      <c r="A3" s="53" t="s">
        <v>38</v>
      </c>
      <c r="B3" s="53" t="s">
        <v>39</v>
      </c>
      <c r="C3" s="53" t="s">
        <v>40</v>
      </c>
      <c r="D3" s="53" t="s">
        <v>45</v>
      </c>
      <c r="E3" s="54" t="s">
        <v>47</v>
      </c>
    </row>
    <row r="4">
      <c r="A4" s="116"/>
      <c r="B4" s="110"/>
      <c r="C4" s="110"/>
      <c r="D4" s="110"/>
      <c r="E4" s="110"/>
    </row>
    <row r="5">
      <c r="A5" s="111"/>
      <c r="B5" s="112"/>
      <c r="C5" s="112"/>
      <c r="D5" s="112"/>
      <c r="E5" s="112"/>
    </row>
    <row r="6">
      <c r="A6" s="117" t="s">
        <v>317</v>
      </c>
      <c r="B6" s="110"/>
      <c r="C6" s="110"/>
      <c r="D6" s="110"/>
      <c r="E6" s="118"/>
    </row>
    <row r="7">
      <c r="A7" s="119" t="s">
        <v>318</v>
      </c>
    </row>
    <row r="8">
      <c r="A8" s="53"/>
      <c r="B8" s="53" t="s">
        <v>319</v>
      </c>
      <c r="C8" s="53" t="s">
        <v>320</v>
      </c>
      <c r="D8" s="53" t="s">
        <v>321</v>
      </c>
      <c r="E8" s="53" t="s">
        <v>322</v>
      </c>
    </row>
    <row r="9" ht="65.25" customHeight="1">
      <c r="A9" s="120"/>
      <c r="B9" s="121" t="s">
        <v>323</v>
      </c>
      <c r="C9" s="122"/>
      <c r="D9" s="123"/>
      <c r="E9" s="124"/>
    </row>
    <row r="10">
      <c r="A10" s="125"/>
      <c r="B10" s="125"/>
      <c r="C10" s="125"/>
      <c r="D10" s="125"/>
      <c r="E10" s="126"/>
    </row>
    <row r="11">
      <c r="A11" s="127" t="s">
        <v>324</v>
      </c>
      <c r="B11" s="128"/>
      <c r="C11" s="128"/>
      <c r="D11" s="129"/>
      <c r="E11" s="130">
        <v>225000.0</v>
      </c>
    </row>
    <row r="12">
      <c r="A12" s="131" t="s">
        <v>325</v>
      </c>
      <c r="B12" s="132" t="s">
        <v>326</v>
      </c>
      <c r="C12" s="128"/>
      <c r="D12" s="128"/>
      <c r="E12" s="129"/>
    </row>
    <row r="13">
      <c r="A13" s="123" t="s">
        <v>327</v>
      </c>
      <c r="B13" s="133" t="s">
        <v>319</v>
      </c>
      <c r="C13" s="129"/>
      <c r="D13" s="123" t="s">
        <v>328</v>
      </c>
      <c r="E13" s="124" t="s">
        <v>329</v>
      </c>
    </row>
    <row r="14">
      <c r="A14" s="134">
        <v>1.0</v>
      </c>
      <c r="B14" s="135" t="s">
        <v>330</v>
      </c>
      <c r="C14" s="129"/>
      <c r="D14" s="136">
        <v>0.45</v>
      </c>
      <c r="E14" s="124" t="str">
        <f>D14*D18</f>
        <v>₹ 101,250.00</v>
      </c>
    </row>
    <row r="15">
      <c r="A15" s="134">
        <v>2.0</v>
      </c>
      <c r="B15" s="135" t="s">
        <v>331</v>
      </c>
      <c r="C15" s="129"/>
      <c r="D15" s="136">
        <v>0.25</v>
      </c>
      <c r="E15" s="124" t="str">
        <f>D15*D18</f>
        <v>₹ 56,250.00</v>
      </c>
    </row>
    <row r="16">
      <c r="A16" s="134">
        <v>3.0</v>
      </c>
      <c r="B16" s="135" t="s">
        <v>332</v>
      </c>
      <c r="C16" s="129"/>
      <c r="D16" s="136">
        <v>0.2</v>
      </c>
      <c r="E16" s="124" t="str">
        <f>D16*D18</f>
        <v>₹ 45,000.00</v>
      </c>
    </row>
    <row r="17">
      <c r="A17" s="134">
        <v>4.0</v>
      </c>
      <c r="B17" s="137" t="s">
        <v>333</v>
      </c>
      <c r="C17" s="129"/>
      <c r="D17" s="136">
        <v>0.1</v>
      </c>
      <c r="E17" s="124" t="str">
        <f>D17*D18</f>
        <v>₹ 22,500.00</v>
      </c>
    </row>
    <row r="18">
      <c r="A18" s="134">
        <v>5.0</v>
      </c>
      <c r="B18" s="135" t="s">
        <v>334</v>
      </c>
      <c r="C18" s="129"/>
      <c r="D18" s="123" t="str">
        <f>E11</f>
        <v>₹ 225,000.00</v>
      </c>
      <c r="E18" s="124" t="str">
        <f>SUM(E14:E17)</f>
        <v>₹ 225,000.00</v>
      </c>
    </row>
    <row r="19">
      <c r="A19" s="120"/>
      <c r="B19" s="138"/>
      <c r="C19" s="129"/>
      <c r="D19" s="139" t="s">
        <v>335</v>
      </c>
      <c r="E19" s="140" t="str">
        <f>E18</f>
        <v>₹ 225,000.00</v>
      </c>
    </row>
    <row r="20">
      <c r="A20" s="141"/>
      <c r="B20" s="128"/>
      <c r="C20" s="128"/>
      <c r="D20" s="128"/>
      <c r="E20" s="129"/>
    </row>
    <row r="21" ht="15.75" customHeight="1">
      <c r="A21" s="142"/>
      <c r="B21" s="143"/>
      <c r="C21" s="143"/>
      <c r="D21" s="143"/>
      <c r="E21" s="144"/>
    </row>
    <row r="22" ht="15.75" customHeight="1">
      <c r="A22" s="111"/>
      <c r="B22" s="112"/>
      <c r="C22" s="112"/>
      <c r="D22" s="112"/>
      <c r="E22" s="145"/>
    </row>
    <row r="23" ht="15.75" customHeight="1">
      <c r="A23" s="146" t="s">
        <v>336</v>
      </c>
      <c r="B23" s="147"/>
      <c r="C23" s="147"/>
      <c r="D23" s="148"/>
      <c r="E23" s="149" t="str">
        <f>D9+E19</f>
        <v>₹ 225,000.00</v>
      </c>
    </row>
    <row r="24" ht="15.75" customHeight="1">
      <c r="A24" s="114"/>
      <c r="B24" s="114"/>
      <c r="C24" s="114"/>
      <c r="D24" s="114"/>
      <c r="E24" s="115"/>
    </row>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sheetData>
  <mergeCells count="17">
    <mergeCell ref="A20:E20"/>
    <mergeCell ref="A21:E22"/>
    <mergeCell ref="A23:D23"/>
    <mergeCell ref="B13:C13"/>
    <mergeCell ref="B14:C14"/>
    <mergeCell ref="B15:C15"/>
    <mergeCell ref="B16:C16"/>
    <mergeCell ref="B17:C17"/>
    <mergeCell ref="B18:C18"/>
    <mergeCell ref="B19:C19"/>
    <mergeCell ref="A1:E1"/>
    <mergeCell ref="A2:E2"/>
    <mergeCell ref="A4:E5"/>
    <mergeCell ref="A6:E6"/>
    <mergeCell ref="A7:E7"/>
    <mergeCell ref="A11:D11"/>
    <mergeCell ref="B12:E12"/>
  </mergeCells>
  <printOptions/>
  <pageMargins bottom="0.75" footer="0.0" header="0.0" left="0.25" right="0.25" top="0.75"/>
  <pageSetup fitToHeight="0" paperSize="9" orientation="portrait"/>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2.0" topLeftCell="A3" activePane="bottomLeft" state="frozen"/>
      <selection activeCell="B4" sqref="B4" pane="bottomLeft"/>
    </sheetView>
  </sheetViews>
  <sheetFormatPr customHeight="1" defaultColWidth="14.43" defaultRowHeight="15.0"/>
  <cols>
    <col customWidth="1" min="1" max="1" width="11.71"/>
    <col customWidth="1" min="2" max="2" width="55.29"/>
    <col customWidth="1" min="3" max="3" width="142.43"/>
    <col customWidth="1" min="4" max="11" width="12.57"/>
  </cols>
  <sheetData>
    <row r="1">
      <c r="A1" s="150" t="s">
        <v>337</v>
      </c>
      <c r="B1" s="50"/>
      <c r="C1" s="50"/>
    </row>
    <row r="2">
      <c r="A2" s="151" t="s">
        <v>338</v>
      </c>
      <c r="B2" s="50"/>
      <c r="C2" s="50"/>
    </row>
    <row r="3">
      <c r="A3" s="152"/>
      <c r="B3" s="153"/>
      <c r="C3" s="153"/>
    </row>
    <row r="4">
      <c r="A4" s="154" t="s">
        <v>339</v>
      </c>
      <c r="B4" s="110"/>
      <c r="C4" s="110"/>
    </row>
    <row r="5">
      <c r="A5" s="152"/>
    </row>
    <row r="6">
      <c r="A6" s="155">
        <v>1.0</v>
      </c>
      <c r="B6" s="156" t="s">
        <v>340</v>
      </c>
    </row>
    <row r="7">
      <c r="A7" s="155">
        <v>2.0</v>
      </c>
      <c r="B7" s="156" t="s">
        <v>341</v>
      </c>
    </row>
    <row r="8">
      <c r="A8" s="155">
        <v>3.0</v>
      </c>
      <c r="B8" s="156" t="s">
        <v>342</v>
      </c>
    </row>
    <row r="9">
      <c r="A9" s="157"/>
    </row>
    <row r="10">
      <c r="A10" s="154" t="s">
        <v>343</v>
      </c>
      <c r="B10" s="110"/>
      <c r="C10" s="110"/>
    </row>
    <row r="11">
      <c r="A11" s="152"/>
    </row>
    <row r="12">
      <c r="A12" s="155">
        <v>1.0</v>
      </c>
      <c r="B12" s="156" t="s">
        <v>344</v>
      </c>
      <c r="C12" s="156" t="s">
        <v>345</v>
      </c>
    </row>
    <row r="13">
      <c r="A13" s="155">
        <v>2.0</v>
      </c>
      <c r="B13" s="156" t="s">
        <v>346</v>
      </c>
      <c r="C13" s="156" t="s">
        <v>347</v>
      </c>
    </row>
    <row r="14">
      <c r="A14" s="155">
        <v>3.0</v>
      </c>
      <c r="B14" s="156" t="s">
        <v>348</v>
      </c>
      <c r="C14" s="156" t="s">
        <v>349</v>
      </c>
    </row>
    <row r="15">
      <c r="A15" s="155">
        <v>4.0</v>
      </c>
      <c r="B15" s="156" t="s">
        <v>350</v>
      </c>
      <c r="C15" s="156" t="s">
        <v>351</v>
      </c>
    </row>
    <row r="16" ht="45.0" customHeight="1">
      <c r="A16" s="155">
        <v>5.0</v>
      </c>
      <c r="B16" s="156" t="s">
        <v>352</v>
      </c>
      <c r="C16" s="156" t="s">
        <v>353</v>
      </c>
    </row>
    <row r="17">
      <c r="A17" s="155">
        <v>6.0</v>
      </c>
      <c r="B17" s="156" t="s">
        <v>354</v>
      </c>
      <c r="C17" s="156" t="s">
        <v>355</v>
      </c>
    </row>
    <row r="18">
      <c r="A18" s="155">
        <v>7.0</v>
      </c>
      <c r="B18" s="156" t="s">
        <v>356</v>
      </c>
      <c r="C18" s="156" t="s">
        <v>357</v>
      </c>
    </row>
    <row r="19">
      <c r="A19" s="155">
        <v>8.0</v>
      </c>
      <c r="B19" s="156" t="s">
        <v>358</v>
      </c>
      <c r="C19" s="156" t="s">
        <v>359</v>
      </c>
    </row>
    <row r="20">
      <c r="A20" s="155">
        <v>9.0</v>
      </c>
      <c r="B20" s="156" t="s">
        <v>360</v>
      </c>
      <c r="C20" s="156" t="s">
        <v>361</v>
      </c>
    </row>
    <row r="21" ht="15.75" customHeight="1">
      <c r="A21" s="155">
        <v>10.0</v>
      </c>
      <c r="B21" s="156" t="s">
        <v>362</v>
      </c>
      <c r="C21" s="156" t="s">
        <v>363</v>
      </c>
    </row>
    <row r="22" ht="15.75" customHeight="1">
      <c r="A22" s="155">
        <v>11.0</v>
      </c>
      <c r="B22" s="156" t="s">
        <v>364</v>
      </c>
      <c r="C22" s="156" t="s">
        <v>365</v>
      </c>
    </row>
    <row r="23" ht="15.75" customHeight="1">
      <c r="A23" s="155">
        <v>12.0</v>
      </c>
      <c r="B23" s="156" t="s">
        <v>366</v>
      </c>
      <c r="C23" s="156" t="s">
        <v>367</v>
      </c>
    </row>
    <row r="24" ht="15.75" customHeight="1">
      <c r="A24" s="155">
        <v>13.0</v>
      </c>
      <c r="B24" s="156" t="s">
        <v>368</v>
      </c>
      <c r="C24" s="156" t="s">
        <v>369</v>
      </c>
    </row>
    <row r="25" ht="15.75" customHeight="1">
      <c r="A25" s="155">
        <v>14.0</v>
      </c>
      <c r="B25" s="156" t="s">
        <v>370</v>
      </c>
      <c r="C25" s="156" t="s">
        <v>371</v>
      </c>
    </row>
    <row r="26" ht="15.75" customHeight="1">
      <c r="A26" s="155">
        <v>15.0</v>
      </c>
      <c r="B26" s="156" t="s">
        <v>372</v>
      </c>
      <c r="C26" s="156" t="s">
        <v>373</v>
      </c>
    </row>
    <row r="27" ht="15.75" customHeight="1">
      <c r="A27" s="152"/>
    </row>
    <row r="28" ht="15.75" customHeight="1">
      <c r="A28" s="154" t="s">
        <v>374</v>
      </c>
      <c r="B28" s="110"/>
      <c r="C28" s="110"/>
    </row>
    <row r="29" ht="15.75" customHeight="1">
      <c r="A29" s="152"/>
    </row>
    <row r="30" ht="15.75" customHeight="1">
      <c r="A30" s="155">
        <v>1.0</v>
      </c>
      <c r="B30" s="156" t="s">
        <v>375</v>
      </c>
    </row>
    <row r="31" ht="15.75" customHeight="1">
      <c r="A31" s="155">
        <v>2.0</v>
      </c>
      <c r="B31" s="156" t="s">
        <v>376</v>
      </c>
    </row>
    <row r="32" ht="15.75" customHeight="1">
      <c r="A32" s="155">
        <v>3.0</v>
      </c>
      <c r="B32" s="156" t="s">
        <v>377</v>
      </c>
    </row>
    <row r="33" ht="15.75" customHeight="1">
      <c r="A33" s="155">
        <v>4.0</v>
      </c>
      <c r="B33" s="156" t="s">
        <v>378</v>
      </c>
    </row>
    <row r="34" ht="15.75" customHeight="1">
      <c r="A34" s="157"/>
    </row>
    <row r="35" ht="15.75" customHeight="1">
      <c r="A35" s="154" t="s">
        <v>379</v>
      </c>
      <c r="B35" s="110"/>
      <c r="C35" s="110"/>
    </row>
    <row r="36" ht="15.75" customHeight="1">
      <c r="A36" s="152"/>
    </row>
    <row r="37" ht="15.75" customHeight="1">
      <c r="A37" s="158" t="s">
        <v>380</v>
      </c>
    </row>
    <row r="38" ht="15.75" customHeight="1">
      <c r="A38" s="155">
        <v>1.0</v>
      </c>
      <c r="B38" s="156" t="s">
        <v>381</v>
      </c>
    </row>
    <row r="39" ht="15.75" customHeight="1">
      <c r="A39" s="155">
        <v>2.0</v>
      </c>
      <c r="B39" s="156" t="s">
        <v>382</v>
      </c>
    </row>
    <row r="40" ht="15.75" customHeight="1">
      <c r="A40" s="155">
        <v>3.0</v>
      </c>
      <c r="B40" s="156" t="s">
        <v>383</v>
      </c>
    </row>
    <row r="41" ht="15.75" customHeight="1">
      <c r="A41" s="155">
        <v>4.0</v>
      </c>
      <c r="B41" s="156" t="s">
        <v>384</v>
      </c>
    </row>
    <row r="42" ht="15.75" customHeight="1">
      <c r="A42" s="152"/>
    </row>
    <row r="43" ht="15.75" customHeight="1">
      <c r="A43" s="158" t="s">
        <v>385</v>
      </c>
    </row>
    <row r="44" ht="15.75" customHeight="1">
      <c r="A44" s="155">
        <v>1.0</v>
      </c>
      <c r="B44" s="156" t="s">
        <v>386</v>
      </c>
    </row>
    <row r="45" ht="15.75" customHeight="1">
      <c r="A45" s="155">
        <v>2.0</v>
      </c>
      <c r="B45" s="156" t="s">
        <v>387</v>
      </c>
    </row>
    <row r="46" ht="15.75" customHeight="1">
      <c r="A46" s="155">
        <v>3.0</v>
      </c>
      <c r="B46" s="156" t="s">
        <v>388</v>
      </c>
    </row>
    <row r="47" ht="15.75" customHeight="1">
      <c r="A47" s="155">
        <v>4.0</v>
      </c>
      <c r="B47" s="156" t="s">
        <v>389</v>
      </c>
    </row>
    <row r="48" ht="15.75" customHeight="1">
      <c r="A48" s="155">
        <v>5.0</v>
      </c>
      <c r="B48" s="156" t="s">
        <v>390</v>
      </c>
    </row>
    <row r="49" ht="15.75" customHeight="1">
      <c r="A49" s="155">
        <v>6.0</v>
      </c>
      <c r="B49" s="156" t="s">
        <v>391</v>
      </c>
    </row>
    <row r="50" ht="15.75" customHeight="1">
      <c r="A50" s="155">
        <v>7.0</v>
      </c>
      <c r="B50" s="156" t="s">
        <v>392</v>
      </c>
    </row>
    <row r="51" ht="15.75" customHeight="1">
      <c r="A51" s="155">
        <v>8.0</v>
      </c>
      <c r="B51" s="156" t="s">
        <v>393</v>
      </c>
    </row>
    <row r="52" ht="15.75" customHeight="1">
      <c r="A52" s="155">
        <v>9.0</v>
      </c>
      <c r="B52" s="156" t="s">
        <v>394</v>
      </c>
    </row>
    <row r="53" ht="15.75" customHeight="1">
      <c r="A53" s="155">
        <v>10.0</v>
      </c>
      <c r="B53" s="156" t="s">
        <v>395</v>
      </c>
    </row>
    <row r="54" ht="15.75" customHeight="1">
      <c r="A54" s="155">
        <v>11.0</v>
      </c>
      <c r="B54" s="156" t="s">
        <v>396</v>
      </c>
    </row>
    <row r="55" ht="15.75" customHeight="1">
      <c r="A55" s="155">
        <v>12.0</v>
      </c>
      <c r="B55" s="156" t="s">
        <v>397</v>
      </c>
    </row>
    <row r="56" ht="15.75" customHeight="1">
      <c r="A56" s="155">
        <v>13.0</v>
      </c>
      <c r="B56" s="156" t="s">
        <v>398</v>
      </c>
    </row>
    <row r="57" ht="15.75" customHeight="1">
      <c r="A57" s="152"/>
    </row>
    <row r="58" ht="15.75" customHeight="1">
      <c r="A58" s="112"/>
      <c r="B58" s="112"/>
      <c r="C58" s="112"/>
    </row>
    <row r="59" ht="15.75" customHeight="1">
      <c r="A59" s="159" t="s">
        <v>399</v>
      </c>
      <c r="B59" s="50"/>
      <c r="C59" s="50"/>
    </row>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sheetData>
  <mergeCells count="42">
    <mergeCell ref="A1:C1"/>
    <mergeCell ref="A2:C2"/>
    <mergeCell ref="A4:C4"/>
    <mergeCell ref="A5:C5"/>
    <mergeCell ref="B6:C6"/>
    <mergeCell ref="B7:C7"/>
    <mergeCell ref="B8:C8"/>
    <mergeCell ref="A9:C9"/>
    <mergeCell ref="A10:C10"/>
    <mergeCell ref="A11:C11"/>
    <mergeCell ref="A27:C27"/>
    <mergeCell ref="A28:C28"/>
    <mergeCell ref="A29:C29"/>
    <mergeCell ref="B30:C30"/>
    <mergeCell ref="B31:C31"/>
    <mergeCell ref="B32:C32"/>
    <mergeCell ref="B33:C33"/>
    <mergeCell ref="A34:C34"/>
    <mergeCell ref="A35:C35"/>
    <mergeCell ref="A36:C36"/>
    <mergeCell ref="A37:C37"/>
    <mergeCell ref="B52:C52"/>
    <mergeCell ref="B53:C53"/>
    <mergeCell ref="B54:C54"/>
    <mergeCell ref="B55:C55"/>
    <mergeCell ref="B56:C56"/>
    <mergeCell ref="A57:C58"/>
    <mergeCell ref="A59:C59"/>
    <mergeCell ref="B45:C45"/>
    <mergeCell ref="B46:C46"/>
    <mergeCell ref="B47:C47"/>
    <mergeCell ref="B48:C48"/>
    <mergeCell ref="B49:C49"/>
    <mergeCell ref="B50:C50"/>
    <mergeCell ref="B51:C51"/>
    <mergeCell ref="B38:C38"/>
    <mergeCell ref="B39:C39"/>
    <mergeCell ref="B40:C40"/>
    <mergeCell ref="B41:C41"/>
    <mergeCell ref="A42:C42"/>
    <mergeCell ref="A43:C43"/>
    <mergeCell ref="B44:C44"/>
  </mergeCells>
  <printOptions horizontalCentered="1"/>
  <pageMargins bottom="0.75" footer="0.0" header="0.0" left="0.25" right="0.25" top="0.75"/>
  <pageSetup fitToHeight="0" paperSize="9" orientation="portrait"/>
  <drawing r:id="rId1"/>
</worksheet>
</file>